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ngwen\Desktop\website\docs\"/>
    </mc:Choice>
  </mc:AlternateContent>
  <xr:revisionPtr revIDLastSave="0" documentId="13_ncr:1_{1D528905-1538-4B36-B291-42164D198C3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ec 3 Amath Data" sheetId="1" r:id="rId1"/>
    <sheet name="S3 AM" sheetId="4" r:id="rId2"/>
    <sheet name="Sec 2 G2 Data" sheetId="5" r:id="rId3"/>
    <sheet name="S2 G2" sheetId="6" r:id="rId4"/>
    <sheet name="Sec 2 G3" sheetId="7" r:id="rId5"/>
    <sheet name="S2 G3" sheetId="8" r:id="rId6"/>
    <sheet name="Sec 3 G1 Computing" sheetId="9" r:id="rId7"/>
    <sheet name="S3 G1 Comp" sheetId="10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5" i="10" l="1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2" i="10"/>
  <c r="K37" i="9" a="1"/>
  <c r="K37" i="9" s="1"/>
  <c r="J37" i="9"/>
  <c r="K36" i="9" a="1"/>
  <c r="K36" i="9" s="1"/>
  <c r="J36" i="9"/>
  <c r="K35" i="9" a="1"/>
  <c r="K35" i="9" s="1"/>
  <c r="J35" i="9"/>
  <c r="K34" i="9" a="1"/>
  <c r="K34" i="9" s="1"/>
  <c r="R34" i="9" s="1"/>
  <c r="B32" i="10" s="1"/>
  <c r="J34" i="9"/>
  <c r="K33" i="9" a="1"/>
  <c r="K33" i="9" s="1"/>
  <c r="J33" i="9"/>
  <c r="K32" i="9" a="1"/>
  <c r="K32" i="9" s="1"/>
  <c r="J32" i="9"/>
  <c r="K31" i="9" a="1"/>
  <c r="K31" i="9" s="1"/>
  <c r="J31" i="9"/>
  <c r="K30" i="9" a="1"/>
  <c r="K30" i="9" s="1"/>
  <c r="J30" i="9"/>
  <c r="R30" i="9" s="1"/>
  <c r="B28" i="10" s="1"/>
  <c r="K29" i="9" a="1"/>
  <c r="K29" i="9" s="1"/>
  <c r="J29" i="9"/>
  <c r="K28" i="9" a="1"/>
  <c r="K28" i="9" s="1"/>
  <c r="R28" i="9" s="1"/>
  <c r="B26" i="10" s="1"/>
  <c r="J28" i="9"/>
  <c r="K27" i="9" a="1"/>
  <c r="K27" i="9" s="1"/>
  <c r="J27" i="9"/>
  <c r="R27" i="9" s="1"/>
  <c r="B25" i="10" s="1"/>
  <c r="K26" i="9" a="1"/>
  <c r="K26" i="9" s="1"/>
  <c r="Q26" i="9" s="1"/>
  <c r="C24" i="10" s="1"/>
  <c r="J26" i="9"/>
  <c r="K25" i="9" a="1"/>
  <c r="K25" i="9" s="1"/>
  <c r="J25" i="9"/>
  <c r="K24" i="9" a="1"/>
  <c r="K24" i="9" s="1"/>
  <c r="J24" i="9"/>
  <c r="K23" i="9" a="1"/>
  <c r="K23" i="9" s="1"/>
  <c r="J23" i="9"/>
  <c r="K22" i="9" a="1"/>
  <c r="K22" i="9" s="1"/>
  <c r="J22" i="9"/>
  <c r="K21" i="9" a="1"/>
  <c r="K21" i="9" s="1"/>
  <c r="J21" i="9"/>
  <c r="R21" i="9" s="1"/>
  <c r="B19" i="10" s="1"/>
  <c r="K20" i="9" a="1"/>
  <c r="K20" i="9" s="1"/>
  <c r="J20" i="9"/>
  <c r="K19" i="9" a="1"/>
  <c r="K19" i="9" s="1"/>
  <c r="J19" i="9"/>
  <c r="K18" i="9" a="1"/>
  <c r="K18" i="9" s="1"/>
  <c r="R18" i="9" s="1"/>
  <c r="B16" i="10" s="1"/>
  <c r="J18" i="9"/>
  <c r="K17" i="9" a="1"/>
  <c r="K17" i="9" s="1"/>
  <c r="J17" i="9"/>
  <c r="K16" i="9" a="1"/>
  <c r="K16" i="9" s="1"/>
  <c r="J16" i="9"/>
  <c r="K15" i="9" a="1"/>
  <c r="K15" i="9" s="1"/>
  <c r="J15" i="9"/>
  <c r="K14" i="9" a="1"/>
  <c r="K14" i="9" s="1"/>
  <c r="J14" i="9"/>
  <c r="K13" i="9" a="1"/>
  <c r="K13" i="9" s="1"/>
  <c r="J13" i="9"/>
  <c r="K12" i="9"/>
  <c r="R12" i="9" s="1"/>
  <c r="B10" i="10" s="1"/>
  <c r="K12" i="9" a="1"/>
  <c r="J12" i="9"/>
  <c r="K11" i="9" a="1"/>
  <c r="K11" i="9" s="1"/>
  <c r="J11" i="9"/>
  <c r="R11" i="9" s="1"/>
  <c r="B9" i="10" s="1"/>
  <c r="K10" i="9" a="1"/>
  <c r="K10" i="9" s="1"/>
  <c r="R10" i="9" s="1"/>
  <c r="B8" i="10" s="1"/>
  <c r="J10" i="9"/>
  <c r="K9" i="9" a="1"/>
  <c r="K9" i="9" s="1"/>
  <c r="J9" i="9"/>
  <c r="K8" i="9" a="1"/>
  <c r="K8" i="9" s="1"/>
  <c r="J8" i="9"/>
  <c r="R8" i="9" s="1"/>
  <c r="B6" i="10" s="1"/>
  <c r="K7" i="9" a="1"/>
  <c r="K7" i="9" s="1"/>
  <c r="J7" i="9"/>
  <c r="K6" i="9" a="1"/>
  <c r="K6" i="9" s="1"/>
  <c r="J6" i="9"/>
  <c r="R6" i="9" s="1"/>
  <c r="B4" i="10" s="1"/>
  <c r="K5" i="9" a="1"/>
  <c r="K5" i="9" s="1"/>
  <c r="J5" i="9"/>
  <c r="K4" i="9" a="1"/>
  <c r="K4" i="9" s="1"/>
  <c r="J4" i="9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K43" i="7" a="1"/>
  <c r="K43" i="7" s="1"/>
  <c r="J43" i="7"/>
  <c r="R43" i="7" s="1"/>
  <c r="B41" i="8" s="1"/>
  <c r="K42" i="7"/>
  <c r="R42" i="7" s="1"/>
  <c r="B40" i="8" s="1"/>
  <c r="K42" i="7" a="1"/>
  <c r="J42" i="7"/>
  <c r="K41" i="7" a="1"/>
  <c r="K41" i="7" s="1"/>
  <c r="J41" i="7"/>
  <c r="R41" i="7" s="1"/>
  <c r="B39" i="8" s="1"/>
  <c r="K40" i="7" a="1"/>
  <c r="K40" i="7" s="1"/>
  <c r="J40" i="7"/>
  <c r="K39" i="7" a="1"/>
  <c r="K39" i="7" s="1"/>
  <c r="J39" i="7"/>
  <c r="K38" i="7" a="1"/>
  <c r="K38" i="7" s="1"/>
  <c r="J38" i="7"/>
  <c r="R38" i="7" s="1"/>
  <c r="B36" i="8" s="1"/>
  <c r="K37" i="7" a="1"/>
  <c r="K37" i="7" s="1"/>
  <c r="J37" i="7"/>
  <c r="R37" i="7" s="1"/>
  <c r="B35" i="8" s="1"/>
  <c r="K36" i="7" a="1"/>
  <c r="K36" i="7" s="1"/>
  <c r="J36" i="7"/>
  <c r="Q36" i="7" s="1"/>
  <c r="C34" i="8" s="1"/>
  <c r="K35" i="7" a="1"/>
  <c r="K35" i="7" s="1"/>
  <c r="J35" i="7"/>
  <c r="R35" i="7" s="1"/>
  <c r="B33" i="8" s="1"/>
  <c r="K34" i="7" a="1"/>
  <c r="K34" i="7" s="1"/>
  <c r="J34" i="7"/>
  <c r="Q34" i="7" s="1"/>
  <c r="C32" i="8" s="1"/>
  <c r="K33" i="7" a="1"/>
  <c r="K33" i="7" s="1"/>
  <c r="J33" i="7"/>
  <c r="Q33" i="7" s="1"/>
  <c r="C31" i="8" s="1"/>
  <c r="R32" i="7"/>
  <c r="B30" i="8" s="1"/>
  <c r="K32" i="7"/>
  <c r="Q32" i="7" s="1"/>
  <c r="C30" i="8" s="1"/>
  <c r="K32" i="7" a="1"/>
  <c r="J32" i="7"/>
  <c r="K31" i="7" a="1"/>
  <c r="K31" i="7" s="1"/>
  <c r="J31" i="7"/>
  <c r="Q31" i="7" s="1"/>
  <c r="C29" i="8" s="1"/>
  <c r="K30" i="7" a="1"/>
  <c r="K30" i="7" s="1"/>
  <c r="J30" i="7"/>
  <c r="R30" i="7" s="1"/>
  <c r="B28" i="8" s="1"/>
  <c r="K29" i="7" a="1"/>
  <c r="K29" i="7" s="1"/>
  <c r="J29" i="7"/>
  <c r="K28" i="7" a="1"/>
  <c r="K28" i="7" s="1"/>
  <c r="J28" i="7"/>
  <c r="Q28" i="7" s="1"/>
  <c r="C26" i="8" s="1"/>
  <c r="K27" i="7" a="1"/>
  <c r="K27" i="7" s="1"/>
  <c r="J27" i="7"/>
  <c r="R27" i="7" s="1"/>
  <c r="B25" i="8" s="1"/>
  <c r="K26" i="7"/>
  <c r="Q26" i="7" s="1"/>
  <c r="C24" i="8" s="1"/>
  <c r="K26" i="7" a="1"/>
  <c r="J26" i="7"/>
  <c r="K25" i="7" a="1"/>
  <c r="K25" i="7" s="1"/>
  <c r="J25" i="7"/>
  <c r="K24" i="7" a="1"/>
  <c r="K24" i="7" s="1"/>
  <c r="J24" i="7"/>
  <c r="R24" i="7" s="1"/>
  <c r="B22" i="8" s="1"/>
  <c r="K23" i="7" a="1"/>
  <c r="K23" i="7" s="1"/>
  <c r="J23" i="7"/>
  <c r="K22" i="7" a="1"/>
  <c r="K22" i="7" s="1"/>
  <c r="J22" i="7"/>
  <c r="R22" i="7" s="1"/>
  <c r="B20" i="8" s="1"/>
  <c r="K21" i="7" a="1"/>
  <c r="K21" i="7" s="1"/>
  <c r="J21" i="7"/>
  <c r="R21" i="7" s="1"/>
  <c r="B19" i="8" s="1"/>
  <c r="K20" i="7" a="1"/>
  <c r="K20" i="7" s="1"/>
  <c r="J20" i="7"/>
  <c r="R20" i="7" s="1"/>
  <c r="B18" i="8" s="1"/>
  <c r="K19" i="7" a="1"/>
  <c r="K19" i="7" s="1"/>
  <c r="Q19" i="7" s="1"/>
  <c r="C17" i="8" s="1"/>
  <c r="J19" i="7"/>
  <c r="R19" i="7" s="1"/>
  <c r="B17" i="8" s="1"/>
  <c r="K18" i="7" a="1"/>
  <c r="K18" i="7" s="1"/>
  <c r="J18" i="7"/>
  <c r="R18" i="7" s="1"/>
  <c r="B16" i="8" s="1"/>
  <c r="K17" i="7" a="1"/>
  <c r="K17" i="7" s="1"/>
  <c r="J17" i="7"/>
  <c r="R16" i="7"/>
  <c r="B14" i="8" s="1"/>
  <c r="K16" i="7"/>
  <c r="Q16" i="7" s="1"/>
  <c r="C14" i="8" s="1"/>
  <c r="K16" i="7" a="1"/>
  <c r="J16" i="7"/>
  <c r="K15" i="7" a="1"/>
  <c r="K15" i="7" s="1"/>
  <c r="J15" i="7"/>
  <c r="Q15" i="7" s="1"/>
  <c r="C13" i="8" s="1"/>
  <c r="K14" i="7" a="1"/>
  <c r="K14" i="7" s="1"/>
  <c r="J14" i="7"/>
  <c r="R14" i="7" s="1"/>
  <c r="B12" i="8" s="1"/>
  <c r="K13" i="7" a="1"/>
  <c r="K13" i="7" s="1"/>
  <c r="J13" i="7"/>
  <c r="K12" i="7" a="1"/>
  <c r="K12" i="7" s="1"/>
  <c r="J12" i="7"/>
  <c r="R12" i="7" s="1"/>
  <c r="B10" i="8" s="1"/>
  <c r="K11" i="7" a="1"/>
  <c r="K11" i="7" s="1"/>
  <c r="J11" i="7"/>
  <c r="Q11" i="7" s="1"/>
  <c r="C9" i="8" s="1"/>
  <c r="K10" i="7"/>
  <c r="Q10" i="7" s="1"/>
  <c r="C8" i="8" s="1"/>
  <c r="K10" i="7" a="1"/>
  <c r="J10" i="7"/>
  <c r="K9" i="7" a="1"/>
  <c r="K9" i="7" s="1"/>
  <c r="J9" i="7"/>
  <c r="R9" i="7" s="1"/>
  <c r="B7" i="8" s="1"/>
  <c r="K8" i="7" a="1"/>
  <c r="K8" i="7" s="1"/>
  <c r="J8" i="7"/>
  <c r="R8" i="7" s="1"/>
  <c r="B6" i="8" s="1"/>
  <c r="K7" i="7" a="1"/>
  <c r="K7" i="7" s="1"/>
  <c r="J7" i="7"/>
  <c r="K6" i="7" a="1"/>
  <c r="K6" i="7" s="1"/>
  <c r="J6" i="7"/>
  <c r="R6" i="7" s="1"/>
  <c r="B4" i="8" s="1"/>
  <c r="K5" i="7" a="1"/>
  <c r="K5" i="7" s="1"/>
  <c r="J5" i="7"/>
  <c r="R5" i="7" s="1"/>
  <c r="B3" i="8" s="1"/>
  <c r="K4" i="7" a="1"/>
  <c r="K4" i="7" s="1"/>
  <c r="J4" i="7"/>
  <c r="Q4" i="7" s="1"/>
  <c r="C2" i="8" s="1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K20" i="5" a="1"/>
  <c r="K20" i="5" s="1"/>
  <c r="J20" i="5"/>
  <c r="K19" i="5" a="1"/>
  <c r="K19" i="5" s="1"/>
  <c r="J19" i="5"/>
  <c r="K18" i="5" a="1"/>
  <c r="K18" i="5" s="1"/>
  <c r="J18" i="5"/>
  <c r="Q18" i="5" s="1"/>
  <c r="C16" i="6" s="1"/>
  <c r="K17" i="5" a="1"/>
  <c r="K17" i="5" s="1"/>
  <c r="J17" i="5"/>
  <c r="K16" i="5" a="1"/>
  <c r="K16" i="5" s="1"/>
  <c r="J16" i="5"/>
  <c r="R16" i="5" s="1"/>
  <c r="B14" i="6" s="1"/>
  <c r="K15" i="5" a="1"/>
  <c r="K15" i="5" s="1"/>
  <c r="J15" i="5"/>
  <c r="K14" i="5" a="1"/>
  <c r="K14" i="5" s="1"/>
  <c r="J14" i="5"/>
  <c r="K13" i="5" a="1"/>
  <c r="K13" i="5" s="1"/>
  <c r="J13" i="5"/>
  <c r="R13" i="5" s="1"/>
  <c r="B11" i="6" s="1"/>
  <c r="K12" i="5"/>
  <c r="R12" i="5" s="1"/>
  <c r="B10" i="6" s="1"/>
  <c r="K12" i="5" a="1"/>
  <c r="J12" i="5"/>
  <c r="K11" i="5" a="1"/>
  <c r="K11" i="5" s="1"/>
  <c r="J11" i="5"/>
  <c r="K10" i="5" a="1"/>
  <c r="K10" i="5" s="1"/>
  <c r="J10" i="5"/>
  <c r="K9" i="5" a="1"/>
  <c r="K9" i="5" s="1"/>
  <c r="J9" i="5"/>
  <c r="K8" i="5" a="1"/>
  <c r="K8" i="5" s="1"/>
  <c r="J8" i="5"/>
  <c r="K7" i="5"/>
  <c r="K7" i="5" a="1"/>
  <c r="J7" i="5"/>
  <c r="K6" i="5" a="1"/>
  <c r="K6" i="5" s="1"/>
  <c r="J6" i="5"/>
  <c r="R6" i="5" s="1"/>
  <c r="B4" i="6" s="1"/>
  <c r="K5" i="5" a="1"/>
  <c r="K5" i="5" s="1"/>
  <c r="J5" i="5"/>
  <c r="K4" i="5" a="1"/>
  <c r="K4" i="5" s="1"/>
  <c r="J4" i="5"/>
  <c r="J5" i="1"/>
  <c r="R5" i="1" s="1"/>
  <c r="B3" i="4" s="1"/>
  <c r="J6" i="1"/>
  <c r="Q6" i="1" s="1"/>
  <c r="J7" i="1"/>
  <c r="Q7" i="1" s="1"/>
  <c r="C5" i="4" s="1"/>
  <c r="J8" i="1"/>
  <c r="J9" i="1"/>
  <c r="J10" i="1"/>
  <c r="J11" i="1"/>
  <c r="Q11" i="1" s="1"/>
  <c r="J12" i="1"/>
  <c r="Q12" i="1" s="1"/>
  <c r="C10" i="4" s="1"/>
  <c r="J13" i="1"/>
  <c r="Q13" i="1" s="1"/>
  <c r="C11" i="4" s="1"/>
  <c r="J14" i="1"/>
  <c r="Q14" i="1" s="1"/>
  <c r="J15" i="1"/>
  <c r="Q15" i="1" s="1"/>
  <c r="J16" i="1"/>
  <c r="Q16" i="1" s="1"/>
  <c r="J17" i="1"/>
  <c r="Q17" i="1" s="1"/>
  <c r="J18" i="1"/>
  <c r="Q18" i="1" s="1"/>
  <c r="J19" i="1"/>
  <c r="Q19" i="1" s="1"/>
  <c r="J20" i="1"/>
  <c r="Q20" i="1" s="1"/>
  <c r="J21" i="1"/>
  <c r="J22" i="1"/>
  <c r="J23" i="1"/>
  <c r="J4" i="1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" i="4"/>
  <c r="K23" i="1" a="1"/>
  <c r="K23" i="1" s="1"/>
  <c r="R23" i="1" s="1"/>
  <c r="B21" i="4" s="1"/>
  <c r="K22" i="1" a="1"/>
  <c r="K22" i="1" s="1"/>
  <c r="K21" i="1" a="1"/>
  <c r="K21" i="1" s="1"/>
  <c r="Q21" i="1" s="1"/>
  <c r="K20" i="1" a="1"/>
  <c r="K20" i="1" s="1"/>
  <c r="K19" i="1" a="1"/>
  <c r="K19" i="1" s="1"/>
  <c r="K18" i="1" a="1"/>
  <c r="K18" i="1" s="1"/>
  <c r="K17" i="1" a="1"/>
  <c r="K17" i="1" s="1"/>
  <c r="R17" i="1" s="1"/>
  <c r="B15" i="4" s="1"/>
  <c r="K16" i="1" a="1"/>
  <c r="K16" i="1" s="1"/>
  <c r="R16" i="1" s="1"/>
  <c r="B14" i="4" s="1"/>
  <c r="K15" i="1" a="1"/>
  <c r="K15" i="1" s="1"/>
  <c r="K14" i="1" a="1"/>
  <c r="K14" i="1" s="1"/>
  <c r="K13" i="1" a="1"/>
  <c r="K13" i="1" s="1"/>
  <c r="K12" i="1" a="1"/>
  <c r="K12" i="1" s="1"/>
  <c r="K11" i="1" a="1"/>
  <c r="K11" i="1" s="1"/>
  <c r="K10" i="1" a="1"/>
  <c r="K10" i="1" s="1"/>
  <c r="R10" i="1" s="1"/>
  <c r="B8" i="4" s="1"/>
  <c r="K9" i="1" a="1"/>
  <c r="K9" i="1" s="1"/>
  <c r="K8" i="1" a="1"/>
  <c r="K8" i="1" s="1"/>
  <c r="K7" i="1" a="1"/>
  <c r="K7" i="1" s="1"/>
  <c r="K6" i="1" a="1"/>
  <c r="K6" i="1" s="1"/>
  <c r="K5" i="1" a="1"/>
  <c r="K5" i="1" s="1"/>
  <c r="K4" i="1" a="1"/>
  <c r="K4" i="1" s="1"/>
  <c r="R32" i="9" l="1"/>
  <c r="B30" i="10" s="1"/>
  <c r="Q18" i="9"/>
  <c r="C16" i="10" s="1"/>
  <c r="Q33" i="9"/>
  <c r="C31" i="10" s="1"/>
  <c r="R36" i="9"/>
  <c r="B34" i="10" s="1"/>
  <c r="R16" i="9"/>
  <c r="B14" i="10" s="1"/>
  <c r="R4" i="9"/>
  <c r="B2" i="10" s="1"/>
  <c r="R19" i="9"/>
  <c r="B17" i="10" s="1"/>
  <c r="Q34" i="9"/>
  <c r="C32" i="10" s="1"/>
  <c r="R5" i="9"/>
  <c r="B3" i="10" s="1"/>
  <c r="R20" i="9"/>
  <c r="B18" i="10" s="1"/>
  <c r="R35" i="9"/>
  <c r="B33" i="10" s="1"/>
  <c r="R14" i="9"/>
  <c r="B12" i="10" s="1"/>
  <c r="R22" i="9"/>
  <c r="B20" i="10" s="1"/>
  <c r="R37" i="9"/>
  <c r="B35" i="10" s="1"/>
  <c r="Q13" i="9"/>
  <c r="C11" i="10" s="1"/>
  <c r="R13" i="9"/>
  <c r="B11" i="10" s="1"/>
  <c r="Q7" i="9"/>
  <c r="C5" i="10" s="1"/>
  <c r="R7" i="9"/>
  <c r="B5" i="10" s="1"/>
  <c r="R29" i="9"/>
  <c r="B27" i="10" s="1"/>
  <c r="Q29" i="9"/>
  <c r="C27" i="10" s="1"/>
  <c r="R15" i="9"/>
  <c r="B13" i="10" s="1"/>
  <c r="Q15" i="9"/>
  <c r="C13" i="10" s="1"/>
  <c r="R23" i="9"/>
  <c r="B21" i="10" s="1"/>
  <c r="Q23" i="9"/>
  <c r="C21" i="10" s="1"/>
  <c r="Q16" i="9"/>
  <c r="C14" i="10" s="1"/>
  <c r="R24" i="9"/>
  <c r="B22" i="10" s="1"/>
  <c r="R9" i="9"/>
  <c r="B7" i="10" s="1"/>
  <c r="Q9" i="9"/>
  <c r="C7" i="10" s="1"/>
  <c r="R25" i="9"/>
  <c r="B23" i="10" s="1"/>
  <c r="Q25" i="9"/>
  <c r="C23" i="10" s="1"/>
  <c r="R31" i="9"/>
  <c r="B29" i="10" s="1"/>
  <c r="Q31" i="9"/>
  <c r="C29" i="10" s="1"/>
  <c r="Q17" i="9"/>
  <c r="C15" i="10" s="1"/>
  <c r="Q32" i="9"/>
  <c r="C30" i="10" s="1"/>
  <c r="Q14" i="9"/>
  <c r="C12" i="10" s="1"/>
  <c r="R17" i="9"/>
  <c r="B15" i="10" s="1"/>
  <c r="Q30" i="9"/>
  <c r="C28" i="10" s="1"/>
  <c r="R33" i="9"/>
  <c r="B31" i="10" s="1"/>
  <c r="Q11" i="9"/>
  <c r="C9" i="10" s="1"/>
  <c r="Q27" i="9"/>
  <c r="C25" i="10" s="1"/>
  <c r="Q8" i="9"/>
  <c r="C6" i="10" s="1"/>
  <c r="Q24" i="9"/>
  <c r="C22" i="10" s="1"/>
  <c r="Q5" i="9"/>
  <c r="C3" i="10" s="1"/>
  <c r="Q21" i="9"/>
  <c r="C19" i="10" s="1"/>
  <c r="Q37" i="9"/>
  <c r="C35" i="10" s="1"/>
  <c r="Q10" i="9"/>
  <c r="C8" i="10" s="1"/>
  <c r="R26" i="9"/>
  <c r="B24" i="10" s="1"/>
  <c r="Q4" i="9"/>
  <c r="C2" i="10" s="1"/>
  <c r="Q36" i="9"/>
  <c r="C34" i="10" s="1"/>
  <c r="Q35" i="9"/>
  <c r="C33" i="10" s="1"/>
  <c r="Q20" i="9"/>
  <c r="C18" i="10" s="1"/>
  <c r="Q12" i="9"/>
  <c r="C10" i="10" s="1"/>
  <c r="Q28" i="9"/>
  <c r="C26" i="10" s="1"/>
  <c r="Q6" i="9"/>
  <c r="C4" i="10" s="1"/>
  <c r="Q22" i="9"/>
  <c r="C20" i="10" s="1"/>
  <c r="Q19" i="9"/>
  <c r="C17" i="10" s="1"/>
  <c r="Q13" i="5"/>
  <c r="C11" i="6" s="1"/>
  <c r="R17" i="5"/>
  <c r="B15" i="6" s="1"/>
  <c r="R18" i="5"/>
  <c r="B16" i="6" s="1"/>
  <c r="R7" i="5"/>
  <c r="B5" i="6" s="1"/>
  <c r="R8" i="5"/>
  <c r="B6" i="6" s="1"/>
  <c r="R5" i="5"/>
  <c r="B3" i="6" s="1"/>
  <c r="Q19" i="5"/>
  <c r="C17" i="6" s="1"/>
  <c r="R14" i="5"/>
  <c r="B12" i="6" s="1"/>
  <c r="Q10" i="1"/>
  <c r="Q9" i="1"/>
  <c r="Q23" i="1"/>
  <c r="C21" i="4" s="1"/>
  <c r="Q5" i="1"/>
  <c r="C3" i="4" s="1"/>
  <c r="R8" i="1"/>
  <c r="B6" i="4" s="1"/>
  <c r="R22" i="1"/>
  <c r="B20" i="4" s="1"/>
  <c r="Q4" i="1"/>
  <c r="C2" i="4" s="1"/>
  <c r="R19" i="1"/>
  <c r="B17" i="4" s="1"/>
  <c r="Q8" i="1"/>
  <c r="C6" i="4" s="1"/>
  <c r="Q22" i="1"/>
  <c r="R23" i="7"/>
  <c r="B21" i="8" s="1"/>
  <c r="Q23" i="7"/>
  <c r="C21" i="8" s="1"/>
  <c r="R7" i="7"/>
  <c r="B5" i="8" s="1"/>
  <c r="Q7" i="7"/>
  <c r="C5" i="8" s="1"/>
  <c r="R29" i="7"/>
  <c r="B27" i="8" s="1"/>
  <c r="Q29" i="7"/>
  <c r="C27" i="8" s="1"/>
  <c r="Q17" i="7"/>
  <c r="C15" i="8" s="1"/>
  <c r="R25" i="7"/>
  <c r="B23" i="8" s="1"/>
  <c r="R39" i="7"/>
  <c r="B37" i="8" s="1"/>
  <c r="Q39" i="7"/>
  <c r="C37" i="8" s="1"/>
  <c r="R13" i="7"/>
  <c r="B11" i="8" s="1"/>
  <c r="Q13" i="7"/>
  <c r="C11" i="8" s="1"/>
  <c r="R40" i="7"/>
  <c r="B38" i="8" s="1"/>
  <c r="R10" i="7"/>
  <c r="B8" i="8" s="1"/>
  <c r="Q20" i="7"/>
  <c r="C18" i="8" s="1"/>
  <c r="Q27" i="7"/>
  <c r="C25" i="8" s="1"/>
  <c r="Q43" i="7"/>
  <c r="C41" i="8" s="1"/>
  <c r="Q8" i="7"/>
  <c r="C6" i="8" s="1"/>
  <c r="Q24" i="7"/>
  <c r="C22" i="8" s="1"/>
  <c r="R34" i="7"/>
  <c r="B32" i="8" s="1"/>
  <c r="Q12" i="7"/>
  <c r="C10" i="8" s="1"/>
  <c r="R15" i="7"/>
  <c r="B13" i="8" s="1"/>
  <c r="Q9" i="7"/>
  <c r="C7" i="8" s="1"/>
  <c r="Q25" i="7"/>
  <c r="C23" i="8" s="1"/>
  <c r="R28" i="7"/>
  <c r="B26" i="8" s="1"/>
  <c r="Q41" i="7"/>
  <c r="C39" i="8" s="1"/>
  <c r="Q42" i="7"/>
  <c r="C40" i="8" s="1"/>
  <c r="R26" i="7"/>
  <c r="B24" i="8" s="1"/>
  <c r="R4" i="7"/>
  <c r="B2" i="8" s="1"/>
  <c r="R36" i="7"/>
  <c r="B34" i="8" s="1"/>
  <c r="R33" i="7"/>
  <c r="B31" i="8" s="1"/>
  <c r="R11" i="7"/>
  <c r="B9" i="8" s="1"/>
  <c r="R31" i="7"/>
  <c r="B29" i="8" s="1"/>
  <c r="Q6" i="7"/>
  <c r="C4" i="8" s="1"/>
  <c r="Q22" i="7"/>
  <c r="C20" i="8" s="1"/>
  <c r="Q38" i="7"/>
  <c r="C36" i="8" s="1"/>
  <c r="Q14" i="7"/>
  <c r="C12" i="8" s="1"/>
  <c r="R17" i="7"/>
  <c r="B15" i="8" s="1"/>
  <c r="Q5" i="7"/>
  <c r="C3" i="8" s="1"/>
  <c r="Q21" i="7"/>
  <c r="C19" i="8" s="1"/>
  <c r="Q37" i="7"/>
  <c r="C35" i="8" s="1"/>
  <c r="Q30" i="7"/>
  <c r="C28" i="8" s="1"/>
  <c r="Q40" i="7"/>
  <c r="C38" i="8" s="1"/>
  <c r="Q18" i="7"/>
  <c r="C16" i="8" s="1"/>
  <c r="Q35" i="7"/>
  <c r="C33" i="8" s="1"/>
  <c r="Q4" i="5"/>
  <c r="C2" i="6" s="1"/>
  <c r="R4" i="5"/>
  <c r="B2" i="6" s="1"/>
  <c r="Q20" i="5"/>
  <c r="C18" i="6" s="1"/>
  <c r="R20" i="5"/>
  <c r="B18" i="6" s="1"/>
  <c r="R15" i="5"/>
  <c r="B13" i="6" s="1"/>
  <c r="Q15" i="5"/>
  <c r="C13" i="6" s="1"/>
  <c r="R9" i="5"/>
  <c r="B7" i="6" s="1"/>
  <c r="Q9" i="5"/>
  <c r="C7" i="6" s="1"/>
  <c r="R10" i="5"/>
  <c r="B8" i="6" s="1"/>
  <c r="Q10" i="5"/>
  <c r="C8" i="6" s="1"/>
  <c r="R11" i="5"/>
  <c r="B9" i="6" s="1"/>
  <c r="Q7" i="5"/>
  <c r="C5" i="6" s="1"/>
  <c r="Q14" i="5"/>
  <c r="C12" i="6" s="1"/>
  <c r="Q16" i="5"/>
  <c r="C14" i="6" s="1"/>
  <c r="R19" i="5"/>
  <c r="B17" i="6" s="1"/>
  <c r="Q17" i="5"/>
  <c r="C15" i="6" s="1"/>
  <c r="Q11" i="5"/>
  <c r="C9" i="6" s="1"/>
  <c r="Q8" i="5"/>
  <c r="C6" i="6" s="1"/>
  <c r="Q5" i="5"/>
  <c r="C3" i="6" s="1"/>
  <c r="Q12" i="5"/>
  <c r="C10" i="6" s="1"/>
  <c r="Q6" i="5"/>
  <c r="C4" i="6" s="1"/>
  <c r="C14" i="4"/>
  <c r="C18" i="4"/>
  <c r="C12" i="4"/>
  <c r="C16" i="4"/>
  <c r="R20" i="1"/>
  <c r="B18" i="4" s="1"/>
  <c r="C15" i="4"/>
  <c r="R18" i="1"/>
  <c r="B16" i="4" s="1"/>
  <c r="R12" i="1"/>
  <c r="B10" i="4" s="1"/>
  <c r="R14" i="1"/>
  <c r="B12" i="4" s="1"/>
  <c r="R9" i="1"/>
  <c r="B7" i="4" s="1"/>
  <c r="R21" i="1"/>
  <c r="B19" i="4" s="1"/>
  <c r="R6" i="1"/>
  <c r="B4" i="4" s="1"/>
  <c r="R13" i="1"/>
  <c r="B11" i="4" s="1"/>
  <c r="C17" i="4"/>
  <c r="R4" i="1"/>
  <c r="B2" i="4" s="1"/>
  <c r="C4" i="4"/>
  <c r="R15" i="1"/>
  <c r="B13" i="4" s="1"/>
  <c r="C13" i="4"/>
  <c r="R7" i="1"/>
  <c r="B5" i="4" s="1"/>
  <c r="R11" i="1"/>
  <c r="B9" i="4" s="1"/>
  <c r="C9" i="4"/>
  <c r="C8" i="4"/>
  <c r="C20" i="4"/>
  <c r="C7" i="4"/>
  <c r="C19" i="4"/>
</calcChain>
</file>

<file path=xl/sharedStrings.xml><?xml version="1.0" encoding="utf-8"?>
<sst xmlns="http://schemas.openxmlformats.org/spreadsheetml/2006/main" count="219" uniqueCount="135">
  <si>
    <t>Achievements</t>
  </si>
  <si>
    <t>4A</t>
  </si>
  <si>
    <t>Register No.</t>
  </si>
  <si>
    <t>I Love Math</t>
  </si>
  <si>
    <t>I Say Hi</t>
  </si>
  <si>
    <t>Gaming is life</t>
  </si>
  <si>
    <t>Blast to the Past</t>
  </si>
  <si>
    <t>Full Combo</t>
  </si>
  <si>
    <t>Math Ambassador</t>
  </si>
  <si>
    <t>Extra Credit</t>
  </si>
  <si>
    <t>Consistency Is Key</t>
  </si>
  <si>
    <t>Three-Star Wonder</t>
  </si>
  <si>
    <t>Help a friend!</t>
  </si>
  <si>
    <t>Easy</t>
  </si>
  <si>
    <t>Medium</t>
  </si>
  <si>
    <t>Memelord</t>
  </si>
  <si>
    <t>Math Enthusiast</t>
  </si>
  <si>
    <t>Future Mathematician</t>
  </si>
  <si>
    <t>Math Genius</t>
  </si>
  <si>
    <t>Hard</t>
  </si>
  <si>
    <t>Total Stars</t>
  </si>
  <si>
    <t>Homeworks</t>
  </si>
  <si>
    <t>Star count</t>
  </si>
  <si>
    <t>Nickname</t>
  </si>
  <si>
    <t>Nowhere to Hide</t>
  </si>
  <si>
    <t>Bonus</t>
  </si>
  <si>
    <t>Joshua</t>
  </si>
  <si>
    <t>Pin Tche</t>
  </si>
  <si>
    <t>Jaymee</t>
  </si>
  <si>
    <t>Jayson</t>
  </si>
  <si>
    <t>Junhao</t>
  </si>
  <si>
    <t>Clara</t>
  </si>
  <si>
    <t>Ryan</t>
  </si>
  <si>
    <t>Shermaine</t>
  </si>
  <si>
    <t>Yan Cheng</t>
  </si>
  <si>
    <t>Ding Jie</t>
  </si>
  <si>
    <t>Wei Jei</t>
  </si>
  <si>
    <t>Shi Heng</t>
  </si>
  <si>
    <t>Randall</t>
  </si>
  <si>
    <t>Rayner</t>
  </si>
  <si>
    <t>Si Ning</t>
  </si>
  <si>
    <t>Colette</t>
  </si>
  <si>
    <t>Zachary</t>
  </si>
  <si>
    <t>Vera</t>
  </si>
  <si>
    <t>Jack</t>
  </si>
  <si>
    <t>Xinting</t>
  </si>
  <si>
    <t>Daniel</t>
  </si>
  <si>
    <t>Ming Hao</t>
  </si>
  <si>
    <t>En Yue</t>
  </si>
  <si>
    <t>En Hui</t>
  </si>
  <si>
    <t>Reza</t>
  </si>
  <si>
    <t>Verlene</t>
  </si>
  <si>
    <t>Vivian</t>
  </si>
  <si>
    <t>Naladriel</t>
  </si>
  <si>
    <t>Chloe</t>
  </si>
  <si>
    <t>Emma</t>
  </si>
  <si>
    <t>Darius</t>
  </si>
  <si>
    <t>Jing Xuan</t>
  </si>
  <si>
    <t>Jesserina</t>
  </si>
  <si>
    <t>Jenelle</t>
  </si>
  <si>
    <t>Lerynn</t>
  </si>
  <si>
    <t>Trevor</t>
  </si>
  <si>
    <t>En Qi</t>
  </si>
  <si>
    <t>Lee Ren</t>
  </si>
  <si>
    <t>Andreas</t>
  </si>
  <si>
    <t>Bao Le</t>
  </si>
  <si>
    <t>Sofia</t>
  </si>
  <si>
    <t>Jayden Soh</t>
  </si>
  <si>
    <t>Geng Qi</t>
  </si>
  <si>
    <t>Qiu Yun</t>
  </si>
  <si>
    <t>Rui Xuan</t>
  </si>
  <si>
    <t>Arrissa</t>
  </si>
  <si>
    <t>Zavier</t>
  </si>
  <si>
    <t>Kah Jun</t>
  </si>
  <si>
    <t>Charlyn</t>
  </si>
  <si>
    <t>Fu Ying</t>
  </si>
  <si>
    <t>Chevelle</t>
  </si>
  <si>
    <t>Meng Long</t>
  </si>
  <si>
    <t>Derric</t>
  </si>
  <si>
    <t>Edward</t>
  </si>
  <si>
    <t>Elizabeth</t>
  </si>
  <si>
    <t>Geneve</t>
  </si>
  <si>
    <t>Hayley</t>
  </si>
  <si>
    <t>Joyce</t>
  </si>
  <si>
    <t>Qing Tian</t>
  </si>
  <si>
    <t>Adrien</t>
  </si>
  <si>
    <t>Claire</t>
  </si>
  <si>
    <t>Jayden Lee</t>
  </si>
  <si>
    <t>Raeanne</t>
  </si>
  <si>
    <t>Zong Han</t>
  </si>
  <si>
    <t>Yue Tong</t>
  </si>
  <si>
    <t>Hao Yi</t>
  </si>
  <si>
    <t>Keegan</t>
  </si>
  <si>
    <t>Jing Le</t>
  </si>
  <si>
    <t>Kai Qi</t>
  </si>
  <si>
    <t>Don</t>
  </si>
  <si>
    <t>Alicia</t>
  </si>
  <si>
    <t>Jacinda</t>
  </si>
  <si>
    <t>Ashley</t>
  </si>
  <si>
    <t>Taven</t>
  </si>
  <si>
    <t>Sur Lynn</t>
  </si>
  <si>
    <t>ABRIELLE</t>
  </si>
  <si>
    <t>PEI LING</t>
  </si>
  <si>
    <t xml:space="preserve">DIANA </t>
  </si>
  <si>
    <t xml:space="preserve">FERYAL </t>
  </si>
  <si>
    <t>JIA XUAN</t>
  </si>
  <si>
    <t>FREYA</t>
  </si>
  <si>
    <t>REANNE</t>
  </si>
  <si>
    <t>JANICE</t>
  </si>
  <si>
    <t>DANIEL</t>
  </si>
  <si>
    <t>HOWARD</t>
  </si>
  <si>
    <t xml:space="preserve">JASPER </t>
  </si>
  <si>
    <t xml:space="preserve">JOLIN </t>
  </si>
  <si>
    <t xml:space="preserve">JUSTINE </t>
  </si>
  <si>
    <t xml:space="preserve">KAY </t>
  </si>
  <si>
    <t>VERNICE</t>
  </si>
  <si>
    <t>CHRIS</t>
  </si>
  <si>
    <t>KAI FENG</t>
  </si>
  <si>
    <t>HANNAH</t>
  </si>
  <si>
    <t>LEROY</t>
  </si>
  <si>
    <t>ELIJAH</t>
  </si>
  <si>
    <t>RUBEN</t>
  </si>
  <si>
    <t>IAN</t>
  </si>
  <si>
    <t xml:space="preserve">ADAWIYAH </t>
  </si>
  <si>
    <t>ZI LIANG</t>
  </si>
  <si>
    <t xml:space="preserve">NATHANIEL </t>
  </si>
  <si>
    <t>SHEVON</t>
  </si>
  <si>
    <t xml:space="preserve">PRINZE </t>
  </si>
  <si>
    <t xml:space="preserve">RAPHAEL </t>
  </si>
  <si>
    <t>SEAN</t>
  </si>
  <si>
    <t>JOSHUA</t>
  </si>
  <si>
    <t xml:space="preserve">WAYNE </t>
  </si>
  <si>
    <t>YEN WEI</t>
  </si>
  <si>
    <t>XIN CHENG</t>
  </si>
  <si>
    <t>WEILI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</si>
</sst>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70AD47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70AD47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70AD47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70AD47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70AD47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wrapText="1"/>
    </xf>
    <xf numFmtId="0" fontId="0" fillId="0" borderId="2" xfId="0" applyBorder="1"/>
    <xf numFmtId="0" fontId="0" fillId="2" borderId="2" xfId="0" applyFill="1" applyBorder="1"/>
    <xf numFmtId="0" fontId="0" fillId="2" borderId="0" xfId="0" applyFill="1"/>
    <xf numFmtId="0" fontId="0" fillId="3" borderId="2" xfId="0" applyFill="1" applyBorder="1"/>
    <xf numFmtId="0" fontId="0" fillId="3" borderId="0" xfId="0" applyFill="1"/>
    <xf numFmtId="0" fontId="0" fillId="4" borderId="2" xfId="0" applyFill="1" applyBorder="1"/>
    <xf numFmtId="0" fontId="0" fillId="4" borderId="0" xfId="0" applyFill="1"/>
    <xf numFmtId="0" fontId="0" fillId="5" borderId="2" xfId="0" applyFill="1" applyBorder="1"/>
    <xf numFmtId="0" fontId="0" fillId="5" borderId="0" xfId="0" applyFill="1"/>
    <xf numFmtId="0" fontId="0" fillId="5" borderId="3" xfId="0" applyFill="1" applyBorder="1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6" borderId="8" xfId="0" applyFill="1" applyBorder="1" applyAlignment="1">
      <alignment wrapText="1"/>
    </xf>
    <xf numFmtId="0" fontId="0" fillId="6" borderId="9" xfId="0" applyFill="1" applyBorder="1" applyAlignment="1">
      <alignment wrapText="1"/>
    </xf>
    <xf numFmtId="0" fontId="0" fillId="6" borderId="10" xfId="0" applyFill="1" applyBorder="1" applyAlignment="1">
      <alignment vertical="center"/>
    </xf>
    <xf numFmtId="0" fontId="0" fillId="0" borderId="13" xfId="0" applyFill="1" applyBorder="1" applyAlignment="1">
      <alignment wrapText="1"/>
    </xf>
    <xf numFmtId="0" fontId="0" fillId="0" borderId="14" xfId="0" applyFill="1" applyBorder="1" applyAlignment="1">
      <alignment wrapText="1"/>
    </xf>
    <xf numFmtId="0" fontId="0" fillId="0" borderId="15" xfId="0" applyFill="1" applyBorder="1" applyAlignment="1">
      <alignment vertical="center"/>
    </xf>
    <xf numFmtId="0" fontId="0" fillId="0" borderId="15" xfId="0" applyFill="1" applyBorder="1" applyAlignment="1">
      <alignment wrapText="1"/>
    </xf>
    <xf numFmtId="0" fontId="0" fillId="0" borderId="15" xfId="0" applyFont="1" applyFill="1" applyBorder="1" applyAlignment="1">
      <alignment wrapText="1"/>
    </xf>
    <xf numFmtId="0" fontId="0" fillId="0" borderId="11" xfId="0" applyFill="1" applyBorder="1" applyAlignment="1">
      <alignment wrapText="1"/>
    </xf>
    <xf numFmtId="0" fontId="0" fillId="0" borderId="12" xfId="0" applyFill="1" applyBorder="1" applyAlignment="1">
      <alignment wrapText="1"/>
    </xf>
    <xf numFmtId="0" fontId="2" fillId="0" borderId="16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9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3"/>
  <sheetViews>
    <sheetView workbookViewId="0">
      <pane xSplit="1" topLeftCell="N1" activePane="topRight" state="frozen"/>
      <selection activeCell="R35" sqref="R35"/>
      <selection pane="topRight" activeCell="O33" sqref="O33"/>
    </sheetView>
  </sheetViews>
  <sheetFormatPr defaultRowHeight="14.4" x14ac:dyDescent="0.3"/>
  <cols>
    <col min="1" max="1" width="11" bestFit="1" customWidth="1"/>
    <col min="2" max="2" width="10.6640625" style="3" bestFit="1" customWidth="1"/>
    <col min="3" max="3" width="6.88671875" style="4" bestFit="1" customWidth="1"/>
    <col min="4" max="4" width="15.109375" style="4" bestFit="1" customWidth="1"/>
    <col min="5" max="5" width="11.77734375" style="4" bestFit="1" customWidth="1"/>
    <col min="6" max="6" width="14.33203125" style="4" bestFit="1" customWidth="1"/>
    <col min="7" max="7" width="12" style="4" bestFit="1" customWidth="1"/>
    <col min="8" max="8" width="10.109375" style="4" bestFit="1" customWidth="1"/>
    <col min="9" max="9" width="15.88671875" style="5" bestFit="1" customWidth="1"/>
    <col min="10" max="10" width="16.6640625" style="6" bestFit="1" customWidth="1"/>
    <col min="11" max="11" width="15.88671875" style="6" bestFit="1" customWidth="1"/>
    <col min="12" max="12" width="10.5546875" style="6" bestFit="1" customWidth="1"/>
    <col min="13" max="13" width="9.44140625" style="7" bestFit="1" customWidth="1"/>
    <col min="14" max="14" width="14.21875" style="8" bestFit="1" customWidth="1"/>
    <col min="15" max="15" width="19.21875" style="8" bestFit="1" customWidth="1"/>
    <col min="16" max="16" width="11.21875" style="8" bestFit="1" customWidth="1"/>
    <col min="17" max="17" width="9.6640625" style="2" bestFit="1" customWidth="1"/>
    <col min="18" max="18" width="25.44140625" style="1" customWidth="1"/>
    <col min="19" max="19" width="8.88671875" style="9"/>
    <col min="20" max="37" width="8.88671875" style="10"/>
    <col min="38" max="38" width="8.88671875" style="11"/>
  </cols>
  <sheetData>
    <row r="1" spans="1:39" x14ac:dyDescent="0.3">
      <c r="A1" t="s">
        <v>1</v>
      </c>
      <c r="H1" s="23"/>
      <c r="I1" s="23"/>
      <c r="J1" s="23"/>
      <c r="K1" s="23"/>
      <c r="L1" s="23"/>
      <c r="M1" s="23"/>
    </row>
    <row r="2" spans="1:39" x14ac:dyDescent="0.3">
      <c r="B2" s="24" t="s">
        <v>13</v>
      </c>
      <c r="C2" s="25"/>
      <c r="D2" s="25"/>
      <c r="E2" s="25"/>
      <c r="F2" s="25"/>
      <c r="G2" s="26"/>
      <c r="H2" s="29" t="s">
        <v>14</v>
      </c>
      <c r="I2" s="30"/>
      <c r="J2" s="30"/>
      <c r="K2" s="30"/>
      <c r="L2" s="30"/>
      <c r="M2" s="31"/>
      <c r="N2" s="32" t="s">
        <v>19</v>
      </c>
      <c r="O2" s="33"/>
      <c r="P2" s="34"/>
      <c r="S2" s="27" t="s">
        <v>21</v>
      </c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</row>
    <row r="3" spans="1:39" ht="15" thickBot="1" x14ac:dyDescent="0.35">
      <c r="A3" s="17" t="s">
        <v>2</v>
      </c>
      <c r="B3" s="18" t="s">
        <v>3</v>
      </c>
      <c r="C3" s="18" t="s">
        <v>4</v>
      </c>
      <c r="D3" s="18" t="s">
        <v>24</v>
      </c>
      <c r="E3" s="18" t="s">
        <v>5</v>
      </c>
      <c r="F3" s="18" t="s">
        <v>6</v>
      </c>
      <c r="G3" s="18" t="s">
        <v>12</v>
      </c>
      <c r="H3" s="19" t="s">
        <v>7</v>
      </c>
      <c r="I3" s="19" t="s">
        <v>8</v>
      </c>
      <c r="J3" s="19" t="s">
        <v>11</v>
      </c>
      <c r="K3" s="19" t="s">
        <v>10</v>
      </c>
      <c r="L3" s="19" t="s">
        <v>9</v>
      </c>
      <c r="M3" s="19" t="s">
        <v>15</v>
      </c>
      <c r="N3" s="20" t="s">
        <v>16</v>
      </c>
      <c r="O3" s="20" t="s">
        <v>17</v>
      </c>
      <c r="P3" s="20" t="s">
        <v>18</v>
      </c>
      <c r="Q3" s="17" t="s">
        <v>20</v>
      </c>
      <c r="R3" s="21" t="s">
        <v>0</v>
      </c>
      <c r="S3" s="22">
        <v>1</v>
      </c>
      <c r="T3" s="22">
        <v>2</v>
      </c>
      <c r="U3" s="22">
        <v>3</v>
      </c>
      <c r="V3" s="22">
        <v>4</v>
      </c>
      <c r="W3" s="22">
        <v>5</v>
      </c>
      <c r="X3" s="22">
        <v>6</v>
      </c>
      <c r="Y3" s="22">
        <v>7</v>
      </c>
      <c r="Z3" s="22">
        <v>8</v>
      </c>
      <c r="AA3" s="22">
        <v>9</v>
      </c>
      <c r="AB3" s="22">
        <v>10</v>
      </c>
      <c r="AC3" s="22">
        <v>11</v>
      </c>
      <c r="AD3" s="22">
        <v>12</v>
      </c>
      <c r="AE3" s="22">
        <v>13</v>
      </c>
      <c r="AF3" s="22">
        <v>14</v>
      </c>
      <c r="AG3" s="22">
        <v>15</v>
      </c>
      <c r="AH3" s="22">
        <v>16</v>
      </c>
      <c r="AI3" s="22">
        <v>17</v>
      </c>
      <c r="AJ3" s="22">
        <v>18</v>
      </c>
      <c r="AK3" s="22">
        <v>19</v>
      </c>
      <c r="AL3" s="22">
        <v>20</v>
      </c>
      <c r="AM3" t="s">
        <v>25</v>
      </c>
    </row>
    <row r="4" spans="1:39" ht="15" thickBot="1" x14ac:dyDescent="0.35">
      <c r="A4" s="35" t="s">
        <v>26</v>
      </c>
      <c r="B4" s="12"/>
      <c r="C4" s="12"/>
      <c r="D4" s="12"/>
      <c r="E4" s="12"/>
      <c r="F4" s="12"/>
      <c r="G4" s="12"/>
      <c r="H4" s="13"/>
      <c r="I4" s="13"/>
      <c r="J4" s="13">
        <f>IF(COUNTIF(S4:AL4,"&gt;=3")&gt;=3,1,0)</f>
        <v>0</v>
      </c>
      <c r="K4" s="13">
        <f t="array" ref="K4">IF(MAX(FREQUENCY(IF(S4:AL4&gt;0,COLUMN(S4:AL4)),IF(S4:AL4&lt;=0,COLUMN(S4:AL4))))&gt;4,1,0)</f>
        <v>0</v>
      </c>
      <c r="L4" s="13"/>
      <c r="M4" s="13"/>
      <c r="N4" s="14"/>
      <c r="O4" s="14"/>
      <c r="P4" s="14"/>
      <c r="Q4" s="15">
        <f>SUM(B4:G4)+3*SUM(H4:M4)+5*SUM(N4:P4)+SUM(S4:AM4)</f>
        <v>0</v>
      </c>
      <c r="R4" s="15" t="str">
        <f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</row>
    <row r="5" spans="1:39" ht="15" thickBot="1" x14ac:dyDescent="0.35">
      <c r="A5" s="36" t="s">
        <v>27</v>
      </c>
      <c r="B5" s="12"/>
      <c r="C5" s="12"/>
      <c r="D5" s="12"/>
      <c r="E5" s="12"/>
      <c r="F5" s="12"/>
      <c r="G5" s="12"/>
      <c r="H5" s="13"/>
      <c r="I5" s="13"/>
      <c r="J5" s="13">
        <f t="shared" ref="J5:J23" si="0">IF(COUNTIF(S5:AL5,"&gt;=3")&gt;=3,1,0)</f>
        <v>0</v>
      </c>
      <c r="K5" s="13">
        <f t="array" ref="K5">IF(MAX(FREQUENCY(IF(S5:AL5&gt;0,COLUMN(S5:AL5)),IF(S5:AL5&lt;=0,COLUMN(S5:AL5))))&gt;4,1,0)</f>
        <v>0</v>
      </c>
      <c r="L5" s="13"/>
      <c r="M5" s="13"/>
      <c r="N5" s="14"/>
      <c r="O5" s="14"/>
      <c r="P5" s="14"/>
      <c r="Q5" s="15">
        <f t="shared" ref="Q5:Q23" si="1">SUM(B5:G5)+3*SUM(H5:M5)+5*SUM(N5:P5)+SUM(S5:AM5)</f>
        <v>0</v>
      </c>
      <c r="R5" s="15" t="str">
        <f t="shared" ref="R5:R23" si="2">CONCATENATE("-",IF(B5=1,$B$3&amp;", ",""),IF(C5=1,$C$3&amp;", ",""),IF(D5=1,$D$3&amp;", ",""),IF(E5=1,$E$3&amp;", ",""),IF(F5=1,$F$3&amp;", ",""),IF(G5=1,$G$3&amp;", ",""),IF(H5=1,$H$3&amp;", ",""),IF(I5=1,$I$3&amp;", ",""),IF(J5=1,$J$3&amp;", ",""),IF(K5=1,$K$3&amp;", ",""),IF(L5=1,$L$3&amp;", ",""),IF(M5=1,$M$3&amp;", ",""),IF(N5=1,$N$3&amp;", ",""),IF(O5=1,$O$3&amp;", ",""),IF(P5=1,$P$3&amp;", ",""))</f>
        <v>-</v>
      </c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</row>
    <row r="6" spans="1:39" ht="15" thickBot="1" x14ac:dyDescent="0.35">
      <c r="A6" s="36" t="s">
        <v>28</v>
      </c>
      <c r="B6" s="12"/>
      <c r="C6" s="12"/>
      <c r="D6" s="12"/>
      <c r="E6" s="12"/>
      <c r="F6" s="12"/>
      <c r="G6" s="12"/>
      <c r="H6" s="13"/>
      <c r="I6" s="13"/>
      <c r="J6" s="13">
        <f t="shared" si="0"/>
        <v>0</v>
      </c>
      <c r="K6" s="13">
        <f t="array" ref="K6">IF(MAX(FREQUENCY(IF(S6:AL6&gt;0,COLUMN(S6:AL6)),IF(S6:AL6&lt;=0,COLUMN(S6:AL6))))&gt;4,1,0)</f>
        <v>0</v>
      </c>
      <c r="L6" s="13"/>
      <c r="M6" s="13"/>
      <c r="N6" s="14"/>
      <c r="O6" s="14"/>
      <c r="P6" s="14"/>
      <c r="Q6" s="15">
        <f t="shared" si="1"/>
        <v>0</v>
      </c>
      <c r="R6" s="15" t="str">
        <f t="shared" si="2"/>
        <v>-</v>
      </c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</row>
    <row r="7" spans="1:39" ht="15" thickBot="1" x14ac:dyDescent="0.35">
      <c r="A7" s="36" t="s">
        <v>29</v>
      </c>
      <c r="B7" s="12"/>
      <c r="C7" s="12"/>
      <c r="D7" s="12"/>
      <c r="E7" s="12"/>
      <c r="F7" s="12"/>
      <c r="G7" s="12"/>
      <c r="H7" s="13"/>
      <c r="I7" s="13"/>
      <c r="J7" s="13">
        <f t="shared" si="0"/>
        <v>0</v>
      </c>
      <c r="K7" s="13">
        <f t="array" ref="K7">IF(MAX(FREQUENCY(IF(S7:AL7&gt;0,COLUMN(S7:AL7)),IF(S7:AL7&lt;=0,COLUMN(S7:AL7))))&gt;4,1,0)</f>
        <v>0</v>
      </c>
      <c r="L7" s="13"/>
      <c r="M7" s="13"/>
      <c r="N7" s="14"/>
      <c r="O7" s="14"/>
      <c r="P7" s="14"/>
      <c r="Q7" s="15">
        <f t="shared" si="1"/>
        <v>0</v>
      </c>
      <c r="R7" s="15" t="str">
        <f t="shared" si="2"/>
        <v>-</v>
      </c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</row>
    <row r="8" spans="1:39" ht="15" thickBot="1" x14ac:dyDescent="0.35">
      <c r="A8" s="36" t="s">
        <v>30</v>
      </c>
      <c r="B8" s="12"/>
      <c r="C8" s="12"/>
      <c r="D8" s="12"/>
      <c r="E8" s="12"/>
      <c r="F8" s="12"/>
      <c r="G8" s="12"/>
      <c r="H8" s="13"/>
      <c r="I8" s="13"/>
      <c r="J8" s="13">
        <f t="shared" si="0"/>
        <v>0</v>
      </c>
      <c r="K8" s="13">
        <f t="array" ref="K8">IF(MAX(FREQUENCY(IF(S8:AL8&gt;0,COLUMN(S8:AL8)),IF(S8:AL8&lt;=0,COLUMN(S8:AL8))))&gt;4,1,0)</f>
        <v>0</v>
      </c>
      <c r="L8" s="13"/>
      <c r="M8" s="13"/>
      <c r="N8" s="14"/>
      <c r="O8" s="14"/>
      <c r="P8" s="14"/>
      <c r="Q8" s="15">
        <f t="shared" si="1"/>
        <v>0</v>
      </c>
      <c r="R8" s="15" t="str">
        <f t="shared" si="2"/>
        <v>-</v>
      </c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</row>
    <row r="9" spans="1:39" ht="15" thickBot="1" x14ac:dyDescent="0.35">
      <c r="A9" s="36" t="s">
        <v>31</v>
      </c>
      <c r="B9" s="12"/>
      <c r="C9" s="12"/>
      <c r="D9" s="12"/>
      <c r="E9" s="12"/>
      <c r="F9" s="12"/>
      <c r="G9" s="12"/>
      <c r="H9" s="13"/>
      <c r="I9" s="13"/>
      <c r="J9" s="13">
        <f t="shared" si="0"/>
        <v>0</v>
      </c>
      <c r="K9" s="13">
        <f t="array" ref="K9">IF(MAX(FREQUENCY(IF(S9:AL9&gt;0,COLUMN(S9:AL9)),IF(S9:AL9&lt;=0,COLUMN(S9:AL9))))&gt;4,1,0)</f>
        <v>0</v>
      </c>
      <c r="L9" s="13"/>
      <c r="M9" s="13"/>
      <c r="N9" s="14"/>
      <c r="O9" s="14"/>
      <c r="P9" s="14"/>
      <c r="Q9" s="15">
        <f t="shared" si="1"/>
        <v>0</v>
      </c>
      <c r="R9" s="15" t="str">
        <f t="shared" si="2"/>
        <v>-</v>
      </c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</row>
    <row r="10" spans="1:39" ht="15" thickBot="1" x14ac:dyDescent="0.35">
      <c r="A10" s="36" t="s">
        <v>32</v>
      </c>
      <c r="B10" s="12"/>
      <c r="C10" s="12"/>
      <c r="D10" s="12"/>
      <c r="E10" s="12"/>
      <c r="F10" s="12"/>
      <c r="G10" s="12"/>
      <c r="H10" s="13"/>
      <c r="I10" s="13"/>
      <c r="J10" s="13">
        <f t="shared" si="0"/>
        <v>0</v>
      </c>
      <c r="K10" s="13">
        <f t="array" ref="K10">IF(MAX(FREQUENCY(IF(S10:AL10&gt;0,COLUMN(S10:AL10)),IF(S10:AL10&lt;=0,COLUMN(S10:AL10))))&gt;4,1,0)</f>
        <v>0</v>
      </c>
      <c r="L10" s="13"/>
      <c r="M10" s="13"/>
      <c r="N10" s="14"/>
      <c r="O10" s="14"/>
      <c r="P10" s="14"/>
      <c r="Q10" s="15">
        <f t="shared" si="1"/>
        <v>0</v>
      </c>
      <c r="R10" s="15" t="str">
        <f t="shared" si="2"/>
        <v>-</v>
      </c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</row>
    <row r="11" spans="1:39" ht="15" thickBot="1" x14ac:dyDescent="0.35">
      <c r="A11" s="36" t="s">
        <v>33</v>
      </c>
      <c r="B11" s="12"/>
      <c r="C11" s="12"/>
      <c r="D11" s="12"/>
      <c r="E11" s="12"/>
      <c r="F11" s="12"/>
      <c r="G11" s="12"/>
      <c r="H11" s="13"/>
      <c r="I11" s="13"/>
      <c r="J11" s="13">
        <f t="shared" si="0"/>
        <v>0</v>
      </c>
      <c r="K11" s="13">
        <f t="array" ref="K11">IF(MAX(FREQUENCY(IF(S11:AL11&gt;0,COLUMN(S11:AL11)),IF(S11:AL11&lt;=0,COLUMN(S11:AL11))))&gt;4,1,0)</f>
        <v>0</v>
      </c>
      <c r="L11" s="13"/>
      <c r="M11" s="13"/>
      <c r="N11" s="14"/>
      <c r="O11" s="14"/>
      <c r="P11" s="14"/>
      <c r="Q11" s="15">
        <f t="shared" si="1"/>
        <v>0</v>
      </c>
      <c r="R11" s="15" t="str">
        <f t="shared" si="2"/>
        <v>-</v>
      </c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</row>
    <row r="12" spans="1:39" ht="15" thickBot="1" x14ac:dyDescent="0.35">
      <c r="A12" s="36" t="s">
        <v>34</v>
      </c>
      <c r="B12" s="12"/>
      <c r="C12" s="12"/>
      <c r="D12" s="12"/>
      <c r="E12" s="12"/>
      <c r="F12" s="12"/>
      <c r="G12" s="12"/>
      <c r="H12" s="13"/>
      <c r="I12" s="13"/>
      <c r="J12" s="13">
        <f t="shared" si="0"/>
        <v>0</v>
      </c>
      <c r="K12" s="13">
        <f t="array" ref="K12">IF(MAX(FREQUENCY(IF(S12:AL12&gt;0,COLUMN(S12:AL12)),IF(S12:AL12&lt;=0,COLUMN(S12:AL12))))&gt;4,1,0)</f>
        <v>0</v>
      </c>
      <c r="L12" s="13"/>
      <c r="M12" s="13"/>
      <c r="N12" s="14"/>
      <c r="O12" s="14"/>
      <c r="P12" s="14"/>
      <c r="Q12" s="15">
        <f t="shared" si="1"/>
        <v>0</v>
      </c>
      <c r="R12" s="15" t="str">
        <f t="shared" si="2"/>
        <v>-</v>
      </c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</row>
    <row r="13" spans="1:39" ht="15" thickBot="1" x14ac:dyDescent="0.35">
      <c r="A13" s="36" t="s">
        <v>35</v>
      </c>
      <c r="B13" s="12"/>
      <c r="C13" s="12"/>
      <c r="D13" s="12"/>
      <c r="E13" s="12"/>
      <c r="F13" s="12"/>
      <c r="G13" s="12"/>
      <c r="H13" s="13"/>
      <c r="I13" s="13"/>
      <c r="J13" s="13">
        <f t="shared" si="0"/>
        <v>0</v>
      </c>
      <c r="K13" s="13">
        <f t="array" ref="K13">IF(MAX(FREQUENCY(IF(S13:AL13&gt;0,COLUMN(S13:AL13)),IF(S13:AL13&lt;=0,COLUMN(S13:AL13))))&gt;4,1,0)</f>
        <v>0</v>
      </c>
      <c r="L13" s="13"/>
      <c r="M13" s="13"/>
      <c r="N13" s="14"/>
      <c r="O13" s="14"/>
      <c r="P13" s="14"/>
      <c r="Q13" s="15">
        <f t="shared" si="1"/>
        <v>0</v>
      </c>
      <c r="R13" s="15" t="str">
        <f t="shared" si="2"/>
        <v>-</v>
      </c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</row>
    <row r="14" spans="1:39" ht="15" thickBot="1" x14ac:dyDescent="0.35">
      <c r="A14" s="36" t="s">
        <v>36</v>
      </c>
      <c r="B14" s="12"/>
      <c r="C14" s="12"/>
      <c r="D14" s="12"/>
      <c r="E14" s="12"/>
      <c r="F14" s="12"/>
      <c r="G14" s="12"/>
      <c r="H14" s="13"/>
      <c r="I14" s="13"/>
      <c r="J14" s="13">
        <f t="shared" si="0"/>
        <v>0</v>
      </c>
      <c r="K14" s="13">
        <f t="array" ref="K14">IF(MAX(FREQUENCY(IF(S14:AL14&gt;0,COLUMN(S14:AL14)),IF(S14:AL14&lt;=0,COLUMN(S14:AL14))))&gt;4,1,0)</f>
        <v>0</v>
      </c>
      <c r="L14" s="13"/>
      <c r="M14" s="13"/>
      <c r="N14" s="14"/>
      <c r="O14" s="14"/>
      <c r="P14" s="14"/>
      <c r="Q14" s="15">
        <f t="shared" si="1"/>
        <v>0</v>
      </c>
      <c r="R14" s="15" t="str">
        <f t="shared" si="2"/>
        <v>-</v>
      </c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</row>
    <row r="15" spans="1:39" ht="15" thickBot="1" x14ac:dyDescent="0.35">
      <c r="A15" s="36" t="s">
        <v>37</v>
      </c>
      <c r="B15" s="12"/>
      <c r="C15" s="12"/>
      <c r="D15" s="12"/>
      <c r="E15" s="12"/>
      <c r="F15" s="12"/>
      <c r="G15" s="12"/>
      <c r="H15" s="13"/>
      <c r="I15" s="13"/>
      <c r="J15" s="13">
        <f t="shared" si="0"/>
        <v>0</v>
      </c>
      <c r="K15" s="13">
        <f t="array" ref="K15">IF(MAX(FREQUENCY(IF(S15:AL15&gt;0,COLUMN(S15:AL15)),IF(S15:AL15&lt;=0,COLUMN(S15:AL15))))&gt;4,1,0)</f>
        <v>0</v>
      </c>
      <c r="L15" s="13"/>
      <c r="M15" s="13"/>
      <c r="N15" s="14"/>
      <c r="O15" s="14"/>
      <c r="P15" s="14"/>
      <c r="Q15" s="15">
        <f t="shared" si="1"/>
        <v>0</v>
      </c>
      <c r="R15" s="15" t="str">
        <f t="shared" si="2"/>
        <v>-</v>
      </c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</row>
    <row r="16" spans="1:39" ht="15" thickBot="1" x14ac:dyDescent="0.35">
      <c r="A16" s="36" t="s">
        <v>38</v>
      </c>
      <c r="B16" s="12"/>
      <c r="C16" s="12"/>
      <c r="D16" s="12"/>
      <c r="E16" s="12"/>
      <c r="F16" s="12"/>
      <c r="G16" s="12"/>
      <c r="H16" s="13"/>
      <c r="I16" s="13"/>
      <c r="J16" s="13">
        <f t="shared" si="0"/>
        <v>0</v>
      </c>
      <c r="K16" s="13">
        <f t="array" ref="K16">IF(MAX(FREQUENCY(IF(S16:AL16&gt;0,COLUMN(S16:AL16)),IF(S16:AL16&lt;=0,COLUMN(S16:AL16))))&gt;4,1,0)</f>
        <v>0</v>
      </c>
      <c r="L16" s="13"/>
      <c r="M16" s="13"/>
      <c r="N16" s="14"/>
      <c r="O16" s="14"/>
      <c r="P16" s="14"/>
      <c r="Q16" s="15">
        <f t="shared" si="1"/>
        <v>0</v>
      </c>
      <c r="R16" s="15" t="str">
        <f t="shared" si="2"/>
        <v>-</v>
      </c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</row>
    <row r="17" spans="1:38" ht="15" thickBot="1" x14ac:dyDescent="0.35">
      <c r="A17" s="36" t="s">
        <v>39</v>
      </c>
      <c r="B17" s="12"/>
      <c r="C17" s="12"/>
      <c r="D17" s="12"/>
      <c r="E17" s="12"/>
      <c r="F17" s="12"/>
      <c r="G17" s="12"/>
      <c r="H17" s="13"/>
      <c r="I17" s="13"/>
      <c r="J17" s="13">
        <f t="shared" si="0"/>
        <v>0</v>
      </c>
      <c r="K17" s="13">
        <f t="array" ref="K17">IF(MAX(FREQUENCY(IF(S17:AL17&gt;0,COLUMN(S17:AL17)),IF(S17:AL17&lt;=0,COLUMN(S17:AL17))))&gt;4,1,0)</f>
        <v>0</v>
      </c>
      <c r="L17" s="13"/>
      <c r="M17" s="13"/>
      <c r="N17" s="14"/>
      <c r="O17" s="14"/>
      <c r="P17" s="14"/>
      <c r="Q17" s="15">
        <f t="shared" si="1"/>
        <v>0</v>
      </c>
      <c r="R17" s="15" t="str">
        <f t="shared" si="2"/>
        <v>-</v>
      </c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</row>
    <row r="18" spans="1:38" ht="15" thickBot="1" x14ac:dyDescent="0.35">
      <c r="A18" s="36" t="s">
        <v>40</v>
      </c>
      <c r="B18" s="12"/>
      <c r="C18" s="12"/>
      <c r="D18" s="12"/>
      <c r="E18" s="12"/>
      <c r="F18" s="12"/>
      <c r="G18" s="12"/>
      <c r="H18" s="13"/>
      <c r="I18" s="13"/>
      <c r="J18" s="13">
        <f t="shared" si="0"/>
        <v>0</v>
      </c>
      <c r="K18" s="13">
        <f t="array" ref="K18">IF(MAX(FREQUENCY(IF(S18:AL18&gt;0,COLUMN(S18:AL18)),IF(S18:AL18&lt;=0,COLUMN(S18:AL18))))&gt;4,1,0)</f>
        <v>0</v>
      </c>
      <c r="L18" s="13"/>
      <c r="M18" s="13"/>
      <c r="N18" s="14"/>
      <c r="O18" s="14"/>
      <c r="P18" s="14"/>
      <c r="Q18" s="15">
        <f t="shared" si="1"/>
        <v>0</v>
      </c>
      <c r="R18" s="15" t="str">
        <f t="shared" si="2"/>
        <v>-</v>
      </c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</row>
    <row r="19" spans="1:38" ht="15" thickBot="1" x14ac:dyDescent="0.35">
      <c r="A19" s="36" t="s">
        <v>41</v>
      </c>
      <c r="B19" s="12"/>
      <c r="C19" s="12"/>
      <c r="D19" s="12"/>
      <c r="E19" s="12"/>
      <c r="F19" s="12"/>
      <c r="G19" s="12"/>
      <c r="H19" s="13"/>
      <c r="I19" s="13"/>
      <c r="J19" s="13">
        <f t="shared" si="0"/>
        <v>0</v>
      </c>
      <c r="K19" s="13">
        <f t="array" ref="K19">IF(MAX(FREQUENCY(IF(S19:AL19&gt;0,COLUMN(S19:AL19)),IF(S19:AL19&lt;=0,COLUMN(S19:AL19))))&gt;4,1,0)</f>
        <v>0</v>
      </c>
      <c r="L19" s="13"/>
      <c r="M19" s="13"/>
      <c r="N19" s="14"/>
      <c r="O19" s="14"/>
      <c r="P19" s="14"/>
      <c r="Q19" s="15">
        <f t="shared" si="1"/>
        <v>0</v>
      </c>
      <c r="R19" s="15" t="str">
        <f t="shared" si="2"/>
        <v>-</v>
      </c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</row>
    <row r="20" spans="1:38" ht="15" thickBot="1" x14ac:dyDescent="0.35">
      <c r="A20" s="36" t="s">
        <v>42</v>
      </c>
      <c r="B20" s="12"/>
      <c r="C20" s="12"/>
      <c r="D20" s="12"/>
      <c r="E20" s="12"/>
      <c r="F20" s="12"/>
      <c r="G20" s="12"/>
      <c r="H20" s="13"/>
      <c r="I20" s="13"/>
      <c r="J20" s="13">
        <f t="shared" si="0"/>
        <v>0</v>
      </c>
      <c r="K20" s="13">
        <f t="array" ref="K20">IF(MAX(FREQUENCY(IF(S20:AL20&gt;0,COLUMN(S20:AL20)),IF(S20:AL20&lt;=0,COLUMN(S20:AL20))))&gt;4,1,0)</f>
        <v>0</v>
      </c>
      <c r="L20" s="13"/>
      <c r="M20" s="13"/>
      <c r="N20" s="14"/>
      <c r="O20" s="14"/>
      <c r="P20" s="14"/>
      <c r="Q20" s="15">
        <f t="shared" si="1"/>
        <v>0</v>
      </c>
      <c r="R20" s="15" t="str">
        <f t="shared" si="2"/>
        <v>-</v>
      </c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</row>
    <row r="21" spans="1:38" ht="15" thickBot="1" x14ac:dyDescent="0.35">
      <c r="A21" s="37" t="s">
        <v>43</v>
      </c>
      <c r="B21" s="12"/>
      <c r="C21" s="12"/>
      <c r="D21" s="12"/>
      <c r="E21" s="12"/>
      <c r="F21" s="12"/>
      <c r="G21" s="12"/>
      <c r="H21" s="13"/>
      <c r="I21" s="13"/>
      <c r="J21" s="13">
        <f t="shared" si="0"/>
        <v>0</v>
      </c>
      <c r="K21" s="13">
        <f t="array" ref="K21">IF(MAX(FREQUENCY(IF(S21:AL21&gt;0,COLUMN(S21:AL21)),IF(S21:AL21&lt;=0,COLUMN(S21:AL21))))&gt;4,1,0)</f>
        <v>0</v>
      </c>
      <c r="L21" s="13"/>
      <c r="M21" s="13"/>
      <c r="N21" s="14"/>
      <c r="O21" s="14"/>
      <c r="P21" s="14"/>
      <c r="Q21" s="15">
        <f t="shared" si="1"/>
        <v>0</v>
      </c>
      <c r="R21" s="15" t="str">
        <f t="shared" si="2"/>
        <v>-</v>
      </c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</row>
    <row r="22" spans="1:38" ht="15" thickBot="1" x14ac:dyDescent="0.35">
      <c r="A22" s="36" t="s">
        <v>44</v>
      </c>
      <c r="B22" s="12"/>
      <c r="C22" s="12"/>
      <c r="D22" s="12"/>
      <c r="E22" s="12"/>
      <c r="F22" s="12"/>
      <c r="G22" s="12"/>
      <c r="H22" s="13"/>
      <c r="I22" s="13"/>
      <c r="J22" s="13">
        <f t="shared" si="0"/>
        <v>0</v>
      </c>
      <c r="K22" s="13">
        <f t="array" ref="K22">IF(MAX(FREQUENCY(IF(S22:AL22&gt;0,COLUMN(S22:AL22)),IF(S22:AL22&lt;=0,COLUMN(S22:AL22))))&gt;4,1,0)</f>
        <v>0</v>
      </c>
      <c r="L22" s="13"/>
      <c r="M22" s="13"/>
      <c r="N22" s="14"/>
      <c r="O22" s="14"/>
      <c r="P22" s="14"/>
      <c r="Q22" s="15">
        <f t="shared" si="1"/>
        <v>0</v>
      </c>
      <c r="R22" s="15" t="str">
        <f t="shared" si="2"/>
        <v>-</v>
      </c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</row>
    <row r="23" spans="1:38" ht="15" thickBot="1" x14ac:dyDescent="0.35">
      <c r="A23" s="37" t="s">
        <v>45</v>
      </c>
      <c r="B23" s="12"/>
      <c r="C23" s="12"/>
      <c r="D23" s="12"/>
      <c r="E23" s="12"/>
      <c r="F23" s="12"/>
      <c r="G23" s="12"/>
      <c r="H23" s="13"/>
      <c r="I23" s="13"/>
      <c r="J23" s="13">
        <f t="shared" si="0"/>
        <v>0</v>
      </c>
      <c r="K23" s="13">
        <f t="array" ref="K23">IF(MAX(FREQUENCY(IF(S23:AL23&gt;0,COLUMN(S23:AL23)),IF(S23:AL23&lt;=0,COLUMN(S23:AL23))))&gt;4,1,0)</f>
        <v>0</v>
      </c>
      <c r="L23" s="13"/>
      <c r="M23" s="13"/>
      <c r="N23" s="14"/>
      <c r="O23" s="14"/>
      <c r="P23" s="14"/>
      <c r="Q23" s="15">
        <f t="shared" si="1"/>
        <v>0</v>
      </c>
      <c r="R23" s="15" t="str">
        <f t="shared" si="2"/>
        <v>-</v>
      </c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</row>
  </sheetData>
  <mergeCells count="5">
    <mergeCell ref="H1:M1"/>
    <mergeCell ref="B2:G2"/>
    <mergeCell ref="S2:AL2"/>
    <mergeCell ref="H2:M2"/>
    <mergeCell ref="N2:P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34E12-96AC-44F1-9431-EFE9F0397466}">
  <dimension ref="A1:C21"/>
  <sheetViews>
    <sheetView tabSelected="1" workbookViewId="0">
      <selection activeCell="E31" sqref="E31"/>
    </sheetView>
  </sheetViews>
  <sheetFormatPr defaultRowHeight="14.4" x14ac:dyDescent="0.3"/>
  <sheetData>
    <row r="1" spans="1:3" x14ac:dyDescent="0.3">
      <c r="A1" t="s">
        <v>23</v>
      </c>
      <c r="B1" t="s">
        <v>0</v>
      </c>
      <c r="C1" t="s">
        <v>22</v>
      </c>
    </row>
    <row r="2" spans="1:3" x14ac:dyDescent="0.3">
      <c r="A2" t="str">
        <f>'Sec 3 Amath Data'!A4</f>
        <v>Joshua</v>
      </c>
      <c r="B2" t="str">
        <f>'Sec 3 Amath Data'!R4</f>
        <v>-</v>
      </c>
      <c r="C2">
        <f>'Sec 3 Amath Data'!Q4</f>
        <v>0</v>
      </c>
    </row>
    <row r="3" spans="1:3" x14ac:dyDescent="0.3">
      <c r="A3" t="str">
        <f>'Sec 3 Amath Data'!A5</f>
        <v>Pin Tche</v>
      </c>
      <c r="B3" t="str">
        <f>'Sec 3 Amath Data'!R5</f>
        <v>-</v>
      </c>
      <c r="C3">
        <f>'Sec 3 Amath Data'!Q5</f>
        <v>0</v>
      </c>
    </row>
    <row r="4" spans="1:3" x14ac:dyDescent="0.3">
      <c r="A4" t="str">
        <f>'Sec 3 Amath Data'!A6</f>
        <v>Jaymee</v>
      </c>
      <c r="B4" t="str">
        <f>'Sec 3 Amath Data'!R6</f>
        <v>-</v>
      </c>
      <c r="C4">
        <f>'Sec 3 Amath Data'!Q6</f>
        <v>0</v>
      </c>
    </row>
    <row r="5" spans="1:3" x14ac:dyDescent="0.3">
      <c r="A5" t="str">
        <f>'Sec 3 Amath Data'!A7</f>
        <v>Jayson</v>
      </c>
      <c r="B5" t="str">
        <f>'Sec 3 Amath Data'!R7</f>
        <v>-</v>
      </c>
      <c r="C5">
        <f>'Sec 3 Amath Data'!Q7</f>
        <v>0</v>
      </c>
    </row>
    <row r="6" spans="1:3" x14ac:dyDescent="0.3">
      <c r="A6" t="str">
        <f>'Sec 3 Amath Data'!A8</f>
        <v>Junhao</v>
      </c>
      <c r="B6" t="str">
        <f>'Sec 3 Amath Data'!R8</f>
        <v>-</v>
      </c>
      <c r="C6">
        <f>'Sec 3 Amath Data'!Q8</f>
        <v>0</v>
      </c>
    </row>
    <row r="7" spans="1:3" x14ac:dyDescent="0.3">
      <c r="A7" t="str">
        <f>'Sec 3 Amath Data'!A9</f>
        <v>Clara</v>
      </c>
      <c r="B7" t="str">
        <f>'Sec 3 Amath Data'!R9</f>
        <v>-</v>
      </c>
      <c r="C7">
        <f>'Sec 3 Amath Data'!Q9</f>
        <v>0</v>
      </c>
    </row>
    <row r="8" spans="1:3" x14ac:dyDescent="0.3">
      <c r="A8" t="str">
        <f>'Sec 3 Amath Data'!A10</f>
        <v>Ryan</v>
      </c>
      <c r="B8" t="str">
        <f>'Sec 3 Amath Data'!R10</f>
        <v>-</v>
      </c>
      <c r="C8">
        <f>'Sec 3 Amath Data'!Q10</f>
        <v>0</v>
      </c>
    </row>
    <row r="9" spans="1:3" x14ac:dyDescent="0.3">
      <c r="A9" t="str">
        <f>'Sec 3 Amath Data'!A11</f>
        <v>Shermaine</v>
      </c>
      <c r="B9" t="str">
        <f>'Sec 3 Amath Data'!R11</f>
        <v>-</v>
      </c>
      <c r="C9">
        <f>'Sec 3 Amath Data'!Q11</f>
        <v>0</v>
      </c>
    </row>
    <row r="10" spans="1:3" x14ac:dyDescent="0.3">
      <c r="A10" t="str">
        <f>'Sec 3 Amath Data'!A12</f>
        <v>Yan Cheng</v>
      </c>
      <c r="B10" t="str">
        <f>'Sec 3 Amath Data'!R12</f>
        <v>-</v>
      </c>
      <c r="C10">
        <f>'Sec 3 Amath Data'!Q12</f>
        <v>0</v>
      </c>
    </row>
    <row r="11" spans="1:3" x14ac:dyDescent="0.3">
      <c r="A11" t="str">
        <f>'Sec 3 Amath Data'!A13</f>
        <v>Ding Jie</v>
      </c>
      <c r="B11" t="str">
        <f>'Sec 3 Amath Data'!R13</f>
        <v>-</v>
      </c>
      <c r="C11">
        <f>'Sec 3 Amath Data'!Q13</f>
        <v>0</v>
      </c>
    </row>
    <row r="12" spans="1:3" x14ac:dyDescent="0.3">
      <c r="A12" t="str">
        <f>'Sec 3 Amath Data'!A14</f>
        <v>Wei Jei</v>
      </c>
      <c r="B12" t="str">
        <f>'Sec 3 Amath Data'!R14</f>
        <v>-</v>
      </c>
      <c r="C12">
        <f>'Sec 3 Amath Data'!Q14</f>
        <v>0</v>
      </c>
    </row>
    <row r="13" spans="1:3" x14ac:dyDescent="0.3">
      <c r="A13" t="str">
        <f>'Sec 3 Amath Data'!A15</f>
        <v>Shi Heng</v>
      </c>
      <c r="B13" t="str">
        <f>'Sec 3 Amath Data'!R15</f>
        <v>-</v>
      </c>
      <c r="C13">
        <f>'Sec 3 Amath Data'!Q15</f>
        <v>0</v>
      </c>
    </row>
    <row r="14" spans="1:3" x14ac:dyDescent="0.3">
      <c r="A14" t="str">
        <f>'Sec 3 Amath Data'!A16</f>
        <v>Randall</v>
      </c>
      <c r="B14" t="str">
        <f>'Sec 3 Amath Data'!R16</f>
        <v>-</v>
      </c>
      <c r="C14">
        <f>'Sec 3 Amath Data'!Q16</f>
        <v>0</v>
      </c>
    </row>
    <row r="15" spans="1:3" x14ac:dyDescent="0.3">
      <c r="A15" t="str">
        <f>'Sec 3 Amath Data'!A17</f>
        <v>Rayner</v>
      </c>
      <c r="B15" t="str">
        <f>'Sec 3 Amath Data'!R17</f>
        <v>-</v>
      </c>
      <c r="C15">
        <f>'Sec 3 Amath Data'!Q17</f>
        <v>0</v>
      </c>
    </row>
    <row r="16" spans="1:3" x14ac:dyDescent="0.3">
      <c r="A16" t="str">
        <f>'Sec 3 Amath Data'!A18</f>
        <v>Si Ning</v>
      </c>
      <c r="B16" t="str">
        <f>'Sec 3 Amath Data'!R18</f>
        <v>-</v>
      </c>
      <c r="C16">
        <f>'Sec 3 Amath Data'!Q18</f>
        <v>0</v>
      </c>
    </row>
    <row r="17" spans="1:3" x14ac:dyDescent="0.3">
      <c r="A17" t="str">
        <f>'Sec 3 Amath Data'!A19</f>
        <v>Colette</v>
      </c>
      <c r="B17" t="str">
        <f>'Sec 3 Amath Data'!R19</f>
        <v>-</v>
      </c>
      <c r="C17">
        <f>'Sec 3 Amath Data'!Q19</f>
        <v>0</v>
      </c>
    </row>
    <row r="18" spans="1:3" x14ac:dyDescent="0.3">
      <c r="A18" t="str">
        <f>'Sec 3 Amath Data'!A20</f>
        <v>Zachary</v>
      </c>
      <c r="B18" t="str">
        <f>'Sec 3 Amath Data'!R20</f>
        <v>-</v>
      </c>
      <c r="C18">
        <f>'Sec 3 Amath Data'!Q20</f>
        <v>0</v>
      </c>
    </row>
    <row r="19" spans="1:3" x14ac:dyDescent="0.3">
      <c r="A19" t="str">
        <f>'Sec 3 Amath Data'!A21</f>
        <v>Vera</v>
      </c>
      <c r="B19" t="str">
        <f>'Sec 3 Amath Data'!R21</f>
        <v>-</v>
      </c>
      <c r="C19">
        <f>'Sec 3 Amath Data'!Q21</f>
        <v>0</v>
      </c>
    </row>
    <row r="20" spans="1:3" x14ac:dyDescent="0.3">
      <c r="A20" t="str">
        <f>'Sec 3 Amath Data'!A22</f>
        <v>Jack</v>
      </c>
      <c r="B20" t="str">
        <f>'Sec 3 Amath Data'!R22</f>
        <v>-</v>
      </c>
      <c r="C20">
        <f>'Sec 3 Amath Data'!Q22</f>
        <v>0</v>
      </c>
    </row>
    <row r="21" spans="1:3" x14ac:dyDescent="0.3">
      <c r="A21" t="str">
        <f>'Sec 3 Amath Data'!A23</f>
        <v>Xinting</v>
      </c>
      <c r="B21" t="str">
        <f>'Sec 3 Amath Data'!R23</f>
        <v>-</v>
      </c>
      <c r="C21">
        <f>'Sec 3 Amath Data'!Q23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4241D-D48D-45F5-BC8A-C4FDEC9542FF}">
  <dimension ref="A1:AM20"/>
  <sheetViews>
    <sheetView workbookViewId="0">
      <pane xSplit="1" topLeftCell="K1" activePane="topRight" state="frozen"/>
      <selection activeCell="R35" sqref="R35"/>
      <selection pane="topRight" activeCell="A10" sqref="A10"/>
    </sheetView>
  </sheetViews>
  <sheetFormatPr defaultRowHeight="14.4" x14ac:dyDescent="0.3"/>
  <cols>
    <col min="1" max="1" width="11" bestFit="1" customWidth="1"/>
    <col min="2" max="2" width="10.6640625" style="3" bestFit="1" customWidth="1"/>
    <col min="3" max="3" width="6.88671875" style="4" bestFit="1" customWidth="1"/>
    <col min="4" max="4" width="15.109375" style="4" bestFit="1" customWidth="1"/>
    <col min="5" max="5" width="11.77734375" style="4" bestFit="1" customWidth="1"/>
    <col min="6" max="6" width="14.33203125" style="4" bestFit="1" customWidth="1"/>
    <col min="7" max="7" width="12" style="4" bestFit="1" customWidth="1"/>
    <col min="8" max="8" width="10.109375" style="4" bestFit="1" customWidth="1"/>
    <col min="9" max="9" width="15.88671875" style="5" bestFit="1" customWidth="1"/>
    <col min="10" max="10" width="16.6640625" style="6" bestFit="1" customWidth="1"/>
    <col min="11" max="11" width="15.88671875" style="6" bestFit="1" customWidth="1"/>
    <col min="12" max="12" width="10.5546875" style="6" bestFit="1" customWidth="1"/>
    <col min="13" max="13" width="9.44140625" style="7" bestFit="1" customWidth="1"/>
    <col min="14" max="14" width="14.21875" style="8" bestFit="1" customWidth="1"/>
    <col min="15" max="15" width="19.21875" style="8" bestFit="1" customWidth="1"/>
    <col min="16" max="16" width="11.21875" style="8" bestFit="1" customWidth="1"/>
    <col min="17" max="17" width="9.6640625" style="2" bestFit="1" customWidth="1"/>
    <col min="18" max="18" width="25.44140625" style="1" customWidth="1"/>
    <col min="19" max="19" width="8.88671875" style="9"/>
    <col min="20" max="37" width="8.88671875" style="10"/>
    <col min="38" max="38" width="8.88671875" style="11"/>
  </cols>
  <sheetData>
    <row r="1" spans="1:39" x14ac:dyDescent="0.3">
      <c r="A1" t="s">
        <v>1</v>
      </c>
      <c r="H1" s="23"/>
      <c r="I1" s="23"/>
      <c r="J1" s="23"/>
      <c r="K1" s="23"/>
      <c r="L1" s="23"/>
      <c r="M1" s="23"/>
    </row>
    <row r="2" spans="1:39" x14ac:dyDescent="0.3">
      <c r="B2" s="24" t="s">
        <v>13</v>
      </c>
      <c r="C2" s="25"/>
      <c r="D2" s="25"/>
      <c r="E2" s="25"/>
      <c r="F2" s="25"/>
      <c r="G2" s="26"/>
      <c r="H2" s="29" t="s">
        <v>14</v>
      </c>
      <c r="I2" s="30"/>
      <c r="J2" s="30"/>
      <c r="K2" s="30"/>
      <c r="L2" s="30"/>
      <c r="M2" s="31"/>
      <c r="N2" s="32" t="s">
        <v>19</v>
      </c>
      <c r="O2" s="33"/>
      <c r="P2" s="34"/>
      <c r="S2" s="27" t="s">
        <v>21</v>
      </c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</row>
    <row r="3" spans="1:39" ht="15" thickBot="1" x14ac:dyDescent="0.35">
      <c r="A3" s="17" t="s">
        <v>2</v>
      </c>
      <c r="B3" s="18" t="s">
        <v>3</v>
      </c>
      <c r="C3" s="18" t="s">
        <v>4</v>
      </c>
      <c r="D3" s="18" t="s">
        <v>24</v>
      </c>
      <c r="E3" s="18" t="s">
        <v>5</v>
      </c>
      <c r="F3" s="18" t="s">
        <v>6</v>
      </c>
      <c r="G3" s="18" t="s">
        <v>12</v>
      </c>
      <c r="H3" s="19" t="s">
        <v>7</v>
      </c>
      <c r="I3" s="19" t="s">
        <v>8</v>
      </c>
      <c r="J3" s="19" t="s">
        <v>11</v>
      </c>
      <c r="K3" s="19" t="s">
        <v>10</v>
      </c>
      <c r="L3" s="19" t="s">
        <v>9</v>
      </c>
      <c r="M3" s="19" t="s">
        <v>15</v>
      </c>
      <c r="N3" s="20" t="s">
        <v>16</v>
      </c>
      <c r="O3" s="20" t="s">
        <v>17</v>
      </c>
      <c r="P3" s="20" t="s">
        <v>18</v>
      </c>
      <c r="Q3" s="17" t="s">
        <v>20</v>
      </c>
      <c r="R3" s="21" t="s">
        <v>0</v>
      </c>
      <c r="S3" s="22">
        <v>1</v>
      </c>
      <c r="T3" s="22">
        <v>2</v>
      </c>
      <c r="U3" s="22">
        <v>3</v>
      </c>
      <c r="V3" s="22">
        <v>4</v>
      </c>
      <c r="W3" s="22">
        <v>5</v>
      </c>
      <c r="X3" s="22">
        <v>6</v>
      </c>
      <c r="Y3" s="22">
        <v>7</v>
      </c>
      <c r="Z3" s="22">
        <v>8</v>
      </c>
      <c r="AA3" s="22">
        <v>9</v>
      </c>
      <c r="AB3" s="22">
        <v>10</v>
      </c>
      <c r="AC3" s="22">
        <v>11</v>
      </c>
      <c r="AD3" s="22">
        <v>12</v>
      </c>
      <c r="AE3" s="22">
        <v>13</v>
      </c>
      <c r="AF3" s="22">
        <v>14</v>
      </c>
      <c r="AG3" s="22">
        <v>15</v>
      </c>
      <c r="AH3" s="22">
        <v>16</v>
      </c>
      <c r="AI3" s="22">
        <v>17</v>
      </c>
      <c r="AJ3" s="22">
        <v>18</v>
      </c>
      <c r="AK3" s="22">
        <v>19</v>
      </c>
      <c r="AL3" s="22">
        <v>20</v>
      </c>
      <c r="AM3" t="s">
        <v>25</v>
      </c>
    </row>
    <row r="4" spans="1:39" ht="15" thickBot="1" x14ac:dyDescent="0.35">
      <c r="A4" s="43" t="s">
        <v>46</v>
      </c>
      <c r="B4" s="12"/>
      <c r="C4" s="12"/>
      <c r="D4" s="12"/>
      <c r="E4" s="12"/>
      <c r="F4" s="12"/>
      <c r="G4" s="12"/>
      <c r="H4" s="13"/>
      <c r="I4" s="13"/>
      <c r="J4" s="13">
        <f>IF(COUNTIF(S4:AL4,"&gt;=3")&gt;=3,1,0)</f>
        <v>0</v>
      </c>
      <c r="K4" s="13">
        <f t="array" ref="K4">IF(MAX(FREQUENCY(IF(S4:AL4&gt;0,COLUMN(S4:AL4)),IF(S4:AL4&lt;=0,COLUMN(S4:AL4))))&gt;4,1,0)</f>
        <v>0</v>
      </c>
      <c r="L4" s="13"/>
      <c r="M4" s="13"/>
      <c r="N4" s="14"/>
      <c r="O4" s="14"/>
      <c r="P4" s="14"/>
      <c r="Q4" s="15">
        <f>SUM(B4:G4)+3*SUM(H4:M4)+5*SUM(N4:P4)+SUM(S4:AM4)</f>
        <v>0</v>
      </c>
      <c r="R4" s="15" t="str">
        <f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</row>
    <row r="5" spans="1:39" ht="15" thickBot="1" x14ac:dyDescent="0.35">
      <c r="A5" s="44" t="s">
        <v>47</v>
      </c>
      <c r="B5" s="12"/>
      <c r="C5" s="12"/>
      <c r="D5" s="12"/>
      <c r="E5" s="12"/>
      <c r="F5" s="12"/>
      <c r="G5" s="12"/>
      <c r="H5" s="13"/>
      <c r="I5" s="13"/>
      <c r="J5" s="13">
        <f t="shared" ref="J5:J20" si="0">IF(COUNTIF(S5:AL5,"&gt;=3")&gt;=3,1,0)</f>
        <v>0</v>
      </c>
      <c r="K5" s="13">
        <f t="array" ref="K5">IF(MAX(FREQUENCY(IF(S5:AL5&gt;0,COLUMN(S5:AL5)),IF(S5:AL5&lt;=0,COLUMN(S5:AL5))))&gt;4,1,0)</f>
        <v>0</v>
      </c>
      <c r="L5" s="13"/>
      <c r="M5" s="13"/>
      <c r="N5" s="14"/>
      <c r="O5" s="14"/>
      <c r="P5" s="14"/>
      <c r="Q5" s="15">
        <f t="shared" ref="Q5:Q20" si="1">SUM(B5:G5)+3*SUM(H5:M5)+5*SUM(N5:P5)+SUM(S5:AM5)</f>
        <v>0</v>
      </c>
      <c r="R5" s="15" t="str">
        <f t="shared" ref="R5:R20" si="2">CONCATENATE("-",IF(B5=1,$B$3&amp;", ",""),IF(C5=1,$C$3&amp;", ",""),IF(D5=1,$D$3&amp;", ",""),IF(E5=1,$E$3&amp;", ",""),IF(F5=1,$F$3&amp;", ",""),IF(G5=1,$G$3&amp;", ",""),IF(H5=1,$H$3&amp;", ",""),IF(I5=1,$I$3&amp;", ",""),IF(J5=1,$J$3&amp;", ",""),IF(K5=1,$K$3&amp;", ",""),IF(L5=1,$L$3&amp;", ",""),IF(M5=1,$M$3&amp;", ",""),IF(N5=1,$N$3&amp;", ",""),IF(O5=1,$O$3&amp;", ",""),IF(P5=1,$P$3&amp;", ",""))</f>
        <v>-</v>
      </c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</row>
    <row r="6" spans="1:39" ht="15" thickBot="1" x14ac:dyDescent="0.35">
      <c r="A6" s="44" t="s">
        <v>48</v>
      </c>
      <c r="B6" s="12"/>
      <c r="C6" s="12"/>
      <c r="D6" s="12"/>
      <c r="E6" s="12"/>
      <c r="F6" s="12"/>
      <c r="G6" s="12"/>
      <c r="H6" s="13"/>
      <c r="I6" s="13"/>
      <c r="J6" s="13">
        <f t="shared" si="0"/>
        <v>0</v>
      </c>
      <c r="K6" s="13">
        <f t="array" ref="K6">IF(MAX(FREQUENCY(IF(S6:AL6&gt;0,COLUMN(S6:AL6)),IF(S6:AL6&lt;=0,COLUMN(S6:AL6))))&gt;4,1,0)</f>
        <v>0</v>
      </c>
      <c r="L6" s="13"/>
      <c r="M6" s="13"/>
      <c r="N6" s="14"/>
      <c r="O6" s="14"/>
      <c r="P6" s="14"/>
      <c r="Q6" s="15">
        <f t="shared" si="1"/>
        <v>0</v>
      </c>
      <c r="R6" s="15" t="str">
        <f t="shared" si="2"/>
        <v>-</v>
      </c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</row>
    <row r="7" spans="1:39" ht="15" thickBot="1" x14ac:dyDescent="0.35">
      <c r="A7" s="44" t="s">
        <v>49</v>
      </c>
      <c r="B7" s="12"/>
      <c r="C7" s="12"/>
      <c r="D7" s="12"/>
      <c r="E7" s="12"/>
      <c r="F7" s="12"/>
      <c r="G7" s="12"/>
      <c r="H7" s="13"/>
      <c r="I7" s="13"/>
      <c r="J7" s="13">
        <f t="shared" si="0"/>
        <v>0</v>
      </c>
      <c r="K7" s="13">
        <f t="array" ref="K7">IF(MAX(FREQUENCY(IF(S7:AL7&gt;0,COLUMN(S7:AL7)),IF(S7:AL7&lt;=0,COLUMN(S7:AL7))))&gt;4,1,0)</f>
        <v>0</v>
      </c>
      <c r="L7" s="13"/>
      <c r="M7" s="13"/>
      <c r="N7" s="14"/>
      <c r="O7" s="14"/>
      <c r="P7" s="14"/>
      <c r="Q7" s="15">
        <f t="shared" si="1"/>
        <v>0</v>
      </c>
      <c r="R7" s="15" t="str">
        <f t="shared" si="2"/>
        <v>-</v>
      </c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</row>
    <row r="8" spans="1:39" ht="15" thickBot="1" x14ac:dyDescent="0.35">
      <c r="A8" s="44" t="s">
        <v>32</v>
      </c>
      <c r="B8" s="12"/>
      <c r="C8" s="12"/>
      <c r="D8" s="12"/>
      <c r="E8" s="12"/>
      <c r="F8" s="12"/>
      <c r="G8" s="12"/>
      <c r="H8" s="13"/>
      <c r="I8" s="13"/>
      <c r="J8" s="13">
        <f t="shared" si="0"/>
        <v>0</v>
      </c>
      <c r="K8" s="13">
        <f t="array" ref="K8">IF(MAX(FREQUENCY(IF(S8:AL8&gt;0,COLUMN(S8:AL8)),IF(S8:AL8&lt;=0,COLUMN(S8:AL8))))&gt;4,1,0)</f>
        <v>0</v>
      </c>
      <c r="L8" s="13"/>
      <c r="M8" s="13"/>
      <c r="N8" s="14"/>
      <c r="O8" s="14"/>
      <c r="P8" s="14"/>
      <c r="Q8" s="15">
        <f t="shared" si="1"/>
        <v>0</v>
      </c>
      <c r="R8" s="15" t="str">
        <f t="shared" si="2"/>
        <v>-</v>
      </c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</row>
    <row r="9" spans="1:39" ht="15" thickBot="1" x14ac:dyDescent="0.35">
      <c r="A9" s="44" t="s">
        <v>50</v>
      </c>
      <c r="B9" s="12"/>
      <c r="C9" s="12"/>
      <c r="D9" s="12"/>
      <c r="E9" s="12"/>
      <c r="F9" s="12"/>
      <c r="G9" s="12"/>
      <c r="H9" s="13"/>
      <c r="I9" s="13"/>
      <c r="J9" s="13">
        <f t="shared" si="0"/>
        <v>0</v>
      </c>
      <c r="K9" s="13">
        <f t="array" ref="K9">IF(MAX(FREQUENCY(IF(S9:AL9&gt;0,COLUMN(S9:AL9)),IF(S9:AL9&lt;=0,COLUMN(S9:AL9))))&gt;4,1,0)</f>
        <v>0</v>
      </c>
      <c r="L9" s="13"/>
      <c r="M9" s="13"/>
      <c r="N9" s="14"/>
      <c r="O9" s="14"/>
      <c r="P9" s="14"/>
      <c r="Q9" s="15">
        <f t="shared" si="1"/>
        <v>0</v>
      </c>
      <c r="R9" s="15" t="str">
        <f t="shared" si="2"/>
        <v>-</v>
      </c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</row>
    <row r="10" spans="1:39" ht="15" thickBot="1" x14ac:dyDescent="0.35">
      <c r="A10" s="44" t="s">
        <v>51</v>
      </c>
      <c r="B10" s="12"/>
      <c r="C10" s="12"/>
      <c r="D10" s="12"/>
      <c r="E10" s="12"/>
      <c r="F10" s="12"/>
      <c r="G10" s="12"/>
      <c r="H10" s="13"/>
      <c r="I10" s="13"/>
      <c r="J10" s="13">
        <f t="shared" si="0"/>
        <v>0</v>
      </c>
      <c r="K10" s="13">
        <f t="array" ref="K10">IF(MAX(FREQUENCY(IF(S10:AL10&gt;0,COLUMN(S10:AL10)),IF(S10:AL10&lt;=0,COLUMN(S10:AL10))))&gt;4,1,0)</f>
        <v>0</v>
      </c>
      <c r="L10" s="13"/>
      <c r="M10" s="13"/>
      <c r="N10" s="14"/>
      <c r="O10" s="14"/>
      <c r="P10" s="14"/>
      <c r="Q10" s="15">
        <f t="shared" si="1"/>
        <v>0</v>
      </c>
      <c r="R10" s="15" t="str">
        <f t="shared" si="2"/>
        <v>-</v>
      </c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</row>
    <row r="11" spans="1:39" ht="15" thickBot="1" x14ac:dyDescent="0.35">
      <c r="A11" s="44" t="s">
        <v>52</v>
      </c>
      <c r="B11" s="12"/>
      <c r="C11" s="12"/>
      <c r="D11" s="12"/>
      <c r="E11" s="12"/>
      <c r="F11" s="12"/>
      <c r="G11" s="12"/>
      <c r="H11" s="13"/>
      <c r="I11" s="13"/>
      <c r="J11" s="13">
        <f t="shared" si="0"/>
        <v>0</v>
      </c>
      <c r="K11" s="13">
        <f t="array" ref="K11">IF(MAX(FREQUENCY(IF(S11:AL11&gt;0,COLUMN(S11:AL11)),IF(S11:AL11&lt;=0,COLUMN(S11:AL11))))&gt;4,1,0)</f>
        <v>0</v>
      </c>
      <c r="L11" s="13"/>
      <c r="M11" s="13"/>
      <c r="N11" s="14"/>
      <c r="O11" s="14"/>
      <c r="P11" s="14"/>
      <c r="Q11" s="15">
        <f t="shared" si="1"/>
        <v>0</v>
      </c>
      <c r="R11" s="15" t="str">
        <f t="shared" si="2"/>
        <v>-</v>
      </c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</row>
    <row r="12" spans="1:39" ht="15" thickBot="1" x14ac:dyDescent="0.35">
      <c r="A12" s="44" t="s">
        <v>53</v>
      </c>
      <c r="B12" s="12"/>
      <c r="C12" s="12"/>
      <c r="D12" s="12"/>
      <c r="E12" s="12"/>
      <c r="F12" s="12"/>
      <c r="G12" s="12"/>
      <c r="H12" s="13"/>
      <c r="I12" s="13"/>
      <c r="J12" s="13">
        <f t="shared" si="0"/>
        <v>0</v>
      </c>
      <c r="K12" s="13">
        <f t="array" ref="K12">IF(MAX(FREQUENCY(IF(S12:AL12&gt;0,COLUMN(S12:AL12)),IF(S12:AL12&lt;=0,COLUMN(S12:AL12))))&gt;4,1,0)</f>
        <v>0</v>
      </c>
      <c r="L12" s="13"/>
      <c r="M12" s="13"/>
      <c r="N12" s="14"/>
      <c r="O12" s="14"/>
      <c r="P12" s="14"/>
      <c r="Q12" s="15">
        <f t="shared" si="1"/>
        <v>0</v>
      </c>
      <c r="R12" s="15" t="str">
        <f t="shared" si="2"/>
        <v>-</v>
      </c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</row>
    <row r="13" spans="1:39" ht="15" thickBot="1" x14ac:dyDescent="0.35">
      <c r="A13" s="44" t="s">
        <v>54</v>
      </c>
      <c r="B13" s="12"/>
      <c r="C13" s="12"/>
      <c r="D13" s="12"/>
      <c r="E13" s="12"/>
      <c r="F13" s="12"/>
      <c r="G13" s="12"/>
      <c r="H13" s="13"/>
      <c r="I13" s="13"/>
      <c r="J13" s="13">
        <f t="shared" si="0"/>
        <v>0</v>
      </c>
      <c r="K13" s="13">
        <f t="array" ref="K13">IF(MAX(FREQUENCY(IF(S13:AL13&gt;0,COLUMN(S13:AL13)),IF(S13:AL13&lt;=0,COLUMN(S13:AL13))))&gt;4,1,0)</f>
        <v>0</v>
      </c>
      <c r="L13" s="13"/>
      <c r="M13" s="13"/>
      <c r="N13" s="14"/>
      <c r="O13" s="14"/>
      <c r="P13" s="14"/>
      <c r="Q13" s="15">
        <f t="shared" si="1"/>
        <v>0</v>
      </c>
      <c r="R13" s="15" t="str">
        <f t="shared" si="2"/>
        <v>-</v>
      </c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</row>
    <row r="14" spans="1:39" ht="15" thickBot="1" x14ac:dyDescent="0.35">
      <c r="A14" s="44" t="s">
        <v>55</v>
      </c>
      <c r="B14" s="12"/>
      <c r="C14" s="12"/>
      <c r="D14" s="12"/>
      <c r="E14" s="12"/>
      <c r="F14" s="12"/>
      <c r="G14" s="12"/>
      <c r="H14" s="13"/>
      <c r="I14" s="13"/>
      <c r="J14" s="13">
        <f t="shared" si="0"/>
        <v>0</v>
      </c>
      <c r="K14" s="13">
        <f t="array" ref="K14">IF(MAX(FREQUENCY(IF(S14:AL14&gt;0,COLUMN(S14:AL14)),IF(S14:AL14&lt;=0,COLUMN(S14:AL14))))&gt;4,1,0)</f>
        <v>0</v>
      </c>
      <c r="L14" s="13"/>
      <c r="M14" s="13"/>
      <c r="N14" s="14"/>
      <c r="O14" s="14"/>
      <c r="P14" s="14"/>
      <c r="Q14" s="15">
        <f t="shared" si="1"/>
        <v>0</v>
      </c>
      <c r="R14" s="15" t="str">
        <f t="shared" si="2"/>
        <v>-</v>
      </c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</row>
    <row r="15" spans="1:39" ht="15" thickBot="1" x14ac:dyDescent="0.35">
      <c r="A15" s="44" t="s">
        <v>56</v>
      </c>
      <c r="B15" s="12"/>
      <c r="C15" s="12"/>
      <c r="D15" s="12"/>
      <c r="E15" s="12"/>
      <c r="F15" s="12"/>
      <c r="G15" s="12"/>
      <c r="H15" s="13"/>
      <c r="I15" s="13"/>
      <c r="J15" s="13">
        <f t="shared" si="0"/>
        <v>0</v>
      </c>
      <c r="K15" s="13">
        <f t="array" ref="K15">IF(MAX(FREQUENCY(IF(S15:AL15&gt;0,COLUMN(S15:AL15)),IF(S15:AL15&lt;=0,COLUMN(S15:AL15))))&gt;4,1,0)</f>
        <v>0</v>
      </c>
      <c r="L15" s="13"/>
      <c r="M15" s="13"/>
      <c r="N15" s="14"/>
      <c r="O15" s="14"/>
      <c r="P15" s="14"/>
      <c r="Q15" s="15">
        <f t="shared" si="1"/>
        <v>0</v>
      </c>
      <c r="R15" s="15" t="str">
        <f t="shared" si="2"/>
        <v>-</v>
      </c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</row>
    <row r="16" spans="1:39" ht="15" thickBot="1" x14ac:dyDescent="0.35">
      <c r="A16" s="44" t="s">
        <v>57</v>
      </c>
      <c r="B16" s="12"/>
      <c r="C16" s="12"/>
      <c r="D16" s="12"/>
      <c r="E16" s="12"/>
      <c r="F16" s="12"/>
      <c r="G16" s="12"/>
      <c r="H16" s="13"/>
      <c r="I16" s="13"/>
      <c r="J16" s="13">
        <f t="shared" si="0"/>
        <v>0</v>
      </c>
      <c r="K16" s="13">
        <f t="array" ref="K16">IF(MAX(FREQUENCY(IF(S16:AL16&gt;0,COLUMN(S16:AL16)),IF(S16:AL16&lt;=0,COLUMN(S16:AL16))))&gt;4,1,0)</f>
        <v>0</v>
      </c>
      <c r="L16" s="13"/>
      <c r="M16" s="13"/>
      <c r="N16" s="14"/>
      <c r="O16" s="14"/>
      <c r="P16" s="14"/>
      <c r="Q16" s="15">
        <f t="shared" si="1"/>
        <v>0</v>
      </c>
      <c r="R16" s="15" t="str">
        <f t="shared" si="2"/>
        <v>-</v>
      </c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</row>
    <row r="17" spans="1:38" ht="15" thickBot="1" x14ac:dyDescent="0.35">
      <c r="A17" s="44" t="s">
        <v>58</v>
      </c>
      <c r="B17" s="12"/>
      <c r="C17" s="12"/>
      <c r="D17" s="12"/>
      <c r="E17" s="12"/>
      <c r="F17" s="12"/>
      <c r="G17" s="12"/>
      <c r="H17" s="13"/>
      <c r="I17" s="13"/>
      <c r="J17" s="13">
        <f t="shared" si="0"/>
        <v>0</v>
      </c>
      <c r="K17" s="13">
        <f t="array" ref="K17">IF(MAX(FREQUENCY(IF(S17:AL17&gt;0,COLUMN(S17:AL17)),IF(S17:AL17&lt;=0,COLUMN(S17:AL17))))&gt;4,1,0)</f>
        <v>0</v>
      </c>
      <c r="L17" s="13"/>
      <c r="M17" s="13"/>
      <c r="N17" s="14"/>
      <c r="O17" s="14"/>
      <c r="P17" s="14"/>
      <c r="Q17" s="15">
        <f t="shared" si="1"/>
        <v>0</v>
      </c>
      <c r="R17" s="15" t="str">
        <f t="shared" si="2"/>
        <v>-</v>
      </c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</row>
    <row r="18" spans="1:38" ht="15" thickBot="1" x14ac:dyDescent="0.35">
      <c r="A18" s="44" t="s">
        <v>59</v>
      </c>
      <c r="B18" s="12"/>
      <c r="C18" s="12"/>
      <c r="D18" s="12"/>
      <c r="E18" s="12"/>
      <c r="F18" s="12"/>
      <c r="G18" s="12"/>
      <c r="H18" s="13"/>
      <c r="I18" s="13"/>
      <c r="J18" s="13">
        <f t="shared" si="0"/>
        <v>0</v>
      </c>
      <c r="K18" s="13">
        <f t="array" ref="K18">IF(MAX(FREQUENCY(IF(S18:AL18&gt;0,COLUMN(S18:AL18)),IF(S18:AL18&lt;=0,COLUMN(S18:AL18))))&gt;4,1,0)</f>
        <v>0</v>
      </c>
      <c r="L18" s="13"/>
      <c r="M18" s="13"/>
      <c r="N18" s="14"/>
      <c r="O18" s="14"/>
      <c r="P18" s="14"/>
      <c r="Q18" s="15">
        <f t="shared" si="1"/>
        <v>0</v>
      </c>
      <c r="R18" s="15" t="str">
        <f t="shared" si="2"/>
        <v>-</v>
      </c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</row>
    <row r="19" spans="1:38" ht="15" thickBot="1" x14ac:dyDescent="0.35">
      <c r="A19" s="44" t="s">
        <v>60</v>
      </c>
      <c r="B19" s="12"/>
      <c r="C19" s="12"/>
      <c r="D19" s="12"/>
      <c r="E19" s="12"/>
      <c r="F19" s="12"/>
      <c r="G19" s="12"/>
      <c r="H19" s="13"/>
      <c r="I19" s="13"/>
      <c r="J19" s="13">
        <f t="shared" si="0"/>
        <v>0</v>
      </c>
      <c r="K19" s="13">
        <f t="array" ref="K19">IF(MAX(FREQUENCY(IF(S19:AL19&gt;0,COLUMN(S19:AL19)),IF(S19:AL19&lt;=0,COLUMN(S19:AL19))))&gt;4,1,0)</f>
        <v>0</v>
      </c>
      <c r="L19" s="13"/>
      <c r="M19" s="13"/>
      <c r="N19" s="14"/>
      <c r="O19" s="14"/>
      <c r="P19" s="14"/>
      <c r="Q19" s="15">
        <f t="shared" si="1"/>
        <v>0</v>
      </c>
      <c r="R19" s="15" t="str">
        <f t="shared" si="2"/>
        <v>-</v>
      </c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</row>
    <row r="20" spans="1:38" ht="15" thickBot="1" x14ac:dyDescent="0.35">
      <c r="A20" s="44" t="s">
        <v>61</v>
      </c>
      <c r="B20" s="12"/>
      <c r="C20" s="12"/>
      <c r="D20" s="12"/>
      <c r="E20" s="12"/>
      <c r="F20" s="12"/>
      <c r="G20" s="12"/>
      <c r="H20" s="13"/>
      <c r="I20" s="13"/>
      <c r="J20" s="13">
        <f t="shared" si="0"/>
        <v>0</v>
      </c>
      <c r="K20" s="13">
        <f t="array" ref="K20">IF(MAX(FREQUENCY(IF(S20:AL20&gt;0,COLUMN(S20:AL20)),IF(S20:AL20&lt;=0,COLUMN(S20:AL20))))&gt;4,1,0)</f>
        <v>0</v>
      </c>
      <c r="L20" s="13"/>
      <c r="M20" s="13"/>
      <c r="N20" s="14"/>
      <c r="O20" s="14"/>
      <c r="P20" s="14"/>
      <c r="Q20" s="15">
        <f t="shared" si="1"/>
        <v>0</v>
      </c>
      <c r="R20" s="15" t="str">
        <f t="shared" si="2"/>
        <v>-</v>
      </c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</row>
  </sheetData>
  <mergeCells count="5">
    <mergeCell ref="H1:M1"/>
    <mergeCell ref="B2:G2"/>
    <mergeCell ref="H2:M2"/>
    <mergeCell ref="N2:P2"/>
    <mergeCell ref="S2:AL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60028-1475-4917-89DF-B0AC404225E0}">
  <dimension ref="A1:C18"/>
  <sheetViews>
    <sheetView workbookViewId="0">
      <selection activeCell="F32" sqref="F32"/>
    </sheetView>
  </sheetViews>
  <sheetFormatPr defaultRowHeight="14.4" x14ac:dyDescent="0.3"/>
  <sheetData>
    <row r="1" spans="1:3" x14ac:dyDescent="0.3">
      <c r="A1" t="s">
        <v>23</v>
      </c>
      <c r="B1" t="s">
        <v>0</v>
      </c>
      <c r="C1" t="s">
        <v>22</v>
      </c>
    </row>
    <row r="2" spans="1:3" x14ac:dyDescent="0.3">
      <c r="A2" t="str">
        <f>'Sec 2 G2 Data'!A4</f>
        <v>Daniel</v>
      </c>
      <c r="B2" t="str">
        <f>'Sec 2 G2 Data'!R4</f>
        <v>-</v>
      </c>
      <c r="C2">
        <f>'Sec 2 G2 Data'!Q4</f>
        <v>0</v>
      </c>
    </row>
    <row r="3" spans="1:3" x14ac:dyDescent="0.3">
      <c r="A3" t="str">
        <f>'Sec 2 G2 Data'!A5</f>
        <v>Ming Hao</v>
      </c>
      <c r="B3" t="str">
        <f>'Sec 2 G2 Data'!R5</f>
        <v>-</v>
      </c>
      <c r="C3">
        <f>'Sec 2 G2 Data'!Q5</f>
        <v>0</v>
      </c>
    </row>
    <row r="4" spans="1:3" x14ac:dyDescent="0.3">
      <c r="A4" t="str">
        <f>'Sec 2 G2 Data'!A6</f>
        <v>En Yue</v>
      </c>
      <c r="B4" t="str">
        <f>'Sec 2 G2 Data'!R6</f>
        <v>-</v>
      </c>
      <c r="C4">
        <f>'Sec 2 G2 Data'!Q6</f>
        <v>0</v>
      </c>
    </row>
    <row r="5" spans="1:3" x14ac:dyDescent="0.3">
      <c r="A5" t="str">
        <f>'Sec 2 G2 Data'!A7</f>
        <v>En Hui</v>
      </c>
      <c r="B5" t="str">
        <f>'Sec 2 G2 Data'!R7</f>
        <v>-</v>
      </c>
      <c r="C5">
        <f>'Sec 2 G2 Data'!Q7</f>
        <v>0</v>
      </c>
    </row>
    <row r="6" spans="1:3" x14ac:dyDescent="0.3">
      <c r="A6" t="str">
        <f>'Sec 2 G2 Data'!A8</f>
        <v>Ryan</v>
      </c>
      <c r="B6" t="str">
        <f>'Sec 2 G2 Data'!R8</f>
        <v>-</v>
      </c>
      <c r="C6">
        <f>'Sec 2 G2 Data'!Q8</f>
        <v>0</v>
      </c>
    </row>
    <row r="7" spans="1:3" x14ac:dyDescent="0.3">
      <c r="A7" t="str">
        <f>'Sec 2 G2 Data'!A9</f>
        <v>Reza</v>
      </c>
      <c r="B7" t="str">
        <f>'Sec 2 G2 Data'!R9</f>
        <v>-</v>
      </c>
      <c r="C7">
        <f>'Sec 2 G2 Data'!Q9</f>
        <v>0</v>
      </c>
    </row>
    <row r="8" spans="1:3" x14ac:dyDescent="0.3">
      <c r="A8" t="str">
        <f>'Sec 2 G2 Data'!A10</f>
        <v>Verlene</v>
      </c>
      <c r="B8" t="str">
        <f>'Sec 2 G2 Data'!R10</f>
        <v>-</v>
      </c>
      <c r="C8">
        <f>'Sec 2 G2 Data'!Q10</f>
        <v>0</v>
      </c>
    </row>
    <row r="9" spans="1:3" x14ac:dyDescent="0.3">
      <c r="A9" t="str">
        <f>'Sec 2 G2 Data'!A11</f>
        <v>Vivian</v>
      </c>
      <c r="B9" t="str">
        <f>'Sec 2 G2 Data'!R11</f>
        <v>-</v>
      </c>
      <c r="C9">
        <f>'Sec 2 G2 Data'!Q11</f>
        <v>0</v>
      </c>
    </row>
    <row r="10" spans="1:3" x14ac:dyDescent="0.3">
      <c r="A10" t="str">
        <f>'Sec 2 G2 Data'!A12</f>
        <v>Naladriel</v>
      </c>
      <c r="B10" t="str">
        <f>'Sec 2 G2 Data'!R12</f>
        <v>-</v>
      </c>
      <c r="C10">
        <f>'Sec 2 G2 Data'!Q12</f>
        <v>0</v>
      </c>
    </row>
    <row r="11" spans="1:3" x14ac:dyDescent="0.3">
      <c r="A11" t="str">
        <f>'Sec 2 G2 Data'!A13</f>
        <v>Chloe</v>
      </c>
      <c r="B11" t="str">
        <f>'Sec 2 G2 Data'!R13</f>
        <v>-</v>
      </c>
      <c r="C11">
        <f>'Sec 2 G2 Data'!Q13</f>
        <v>0</v>
      </c>
    </row>
    <row r="12" spans="1:3" x14ac:dyDescent="0.3">
      <c r="A12" t="str">
        <f>'Sec 2 G2 Data'!A14</f>
        <v>Emma</v>
      </c>
      <c r="B12" t="str">
        <f>'Sec 2 G2 Data'!R14</f>
        <v>-</v>
      </c>
      <c r="C12">
        <f>'Sec 2 G2 Data'!Q14</f>
        <v>0</v>
      </c>
    </row>
    <row r="13" spans="1:3" x14ac:dyDescent="0.3">
      <c r="A13" t="str">
        <f>'Sec 2 G2 Data'!A15</f>
        <v>Darius</v>
      </c>
      <c r="B13" t="str">
        <f>'Sec 2 G2 Data'!R15</f>
        <v>-</v>
      </c>
      <c r="C13">
        <f>'Sec 2 G2 Data'!Q15</f>
        <v>0</v>
      </c>
    </row>
    <row r="14" spans="1:3" x14ac:dyDescent="0.3">
      <c r="A14" t="str">
        <f>'Sec 2 G2 Data'!A16</f>
        <v>Jing Xuan</v>
      </c>
      <c r="B14" t="str">
        <f>'Sec 2 G2 Data'!R16</f>
        <v>-</v>
      </c>
      <c r="C14">
        <f>'Sec 2 G2 Data'!Q16</f>
        <v>0</v>
      </c>
    </row>
    <row r="15" spans="1:3" x14ac:dyDescent="0.3">
      <c r="A15" t="str">
        <f>'Sec 2 G2 Data'!A17</f>
        <v>Jesserina</v>
      </c>
      <c r="B15" t="str">
        <f>'Sec 2 G2 Data'!R17</f>
        <v>-</v>
      </c>
      <c r="C15">
        <f>'Sec 2 G2 Data'!Q17</f>
        <v>0</v>
      </c>
    </row>
    <row r="16" spans="1:3" x14ac:dyDescent="0.3">
      <c r="A16" t="str">
        <f>'Sec 2 G2 Data'!A18</f>
        <v>Jenelle</v>
      </c>
      <c r="B16" t="str">
        <f>'Sec 2 G2 Data'!R18</f>
        <v>-</v>
      </c>
      <c r="C16">
        <f>'Sec 2 G2 Data'!Q18</f>
        <v>0</v>
      </c>
    </row>
    <row r="17" spans="1:3" x14ac:dyDescent="0.3">
      <c r="A17" t="str">
        <f>'Sec 2 G2 Data'!A19</f>
        <v>Lerynn</v>
      </c>
      <c r="B17" t="str">
        <f>'Sec 2 G2 Data'!R19</f>
        <v>-</v>
      </c>
      <c r="C17">
        <f>'Sec 2 G2 Data'!Q19</f>
        <v>0</v>
      </c>
    </row>
    <row r="18" spans="1:3" x14ac:dyDescent="0.3">
      <c r="A18" t="str">
        <f>'Sec 2 G2 Data'!A20</f>
        <v>Trevor</v>
      </c>
      <c r="B18" t="str">
        <f>'Sec 2 G2 Data'!R20</f>
        <v>-</v>
      </c>
      <c r="C18">
        <f>'Sec 2 G2 Data'!Q20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D928E-B0BF-40E7-B153-31C6CCBEE21B}">
  <dimension ref="A1:AM43"/>
  <sheetViews>
    <sheetView workbookViewId="0">
      <pane xSplit="1" topLeftCell="B1" activePane="topRight" state="frozen"/>
      <selection activeCell="R35" sqref="R35"/>
      <selection pane="topRight" activeCell="A43" sqref="A4:A43"/>
    </sheetView>
  </sheetViews>
  <sheetFormatPr defaultRowHeight="14.4" x14ac:dyDescent="0.3"/>
  <cols>
    <col min="1" max="1" width="11" bestFit="1" customWidth="1"/>
    <col min="2" max="2" width="10.6640625" style="3" bestFit="1" customWidth="1"/>
    <col min="3" max="3" width="6.88671875" style="4" bestFit="1" customWidth="1"/>
    <col min="4" max="4" width="15.109375" style="4" bestFit="1" customWidth="1"/>
    <col min="5" max="5" width="11.77734375" style="4" bestFit="1" customWidth="1"/>
    <col min="6" max="6" width="14.33203125" style="4" bestFit="1" customWidth="1"/>
    <col min="7" max="7" width="12" style="4" bestFit="1" customWidth="1"/>
    <col min="8" max="8" width="10.109375" style="4" bestFit="1" customWidth="1"/>
    <col min="9" max="9" width="15.88671875" style="5" bestFit="1" customWidth="1"/>
    <col min="10" max="10" width="16.6640625" style="6" bestFit="1" customWidth="1"/>
    <col min="11" max="11" width="15.88671875" style="6" bestFit="1" customWidth="1"/>
    <col min="12" max="12" width="10.5546875" style="6" bestFit="1" customWidth="1"/>
    <col min="13" max="13" width="9.44140625" style="7" bestFit="1" customWidth="1"/>
    <col min="14" max="14" width="14.21875" style="8" bestFit="1" customWidth="1"/>
    <col min="15" max="15" width="19.21875" style="8" bestFit="1" customWidth="1"/>
    <col min="16" max="16" width="11.21875" style="8" bestFit="1" customWidth="1"/>
    <col min="17" max="17" width="9.6640625" style="2" bestFit="1" customWidth="1"/>
    <col min="18" max="18" width="25.44140625" style="1" customWidth="1"/>
    <col min="19" max="19" width="8.88671875" style="9"/>
    <col min="20" max="37" width="8.88671875" style="10"/>
    <col min="38" max="38" width="8.88671875" style="11"/>
  </cols>
  <sheetData>
    <row r="1" spans="1:39" x14ac:dyDescent="0.3">
      <c r="A1" t="s">
        <v>1</v>
      </c>
      <c r="H1" s="23"/>
      <c r="I1" s="23"/>
      <c r="J1" s="23"/>
      <c r="K1" s="23"/>
      <c r="L1" s="23"/>
      <c r="M1" s="23"/>
    </row>
    <row r="2" spans="1:39" x14ac:dyDescent="0.3">
      <c r="B2" s="24" t="s">
        <v>13</v>
      </c>
      <c r="C2" s="25"/>
      <c r="D2" s="25"/>
      <c r="E2" s="25"/>
      <c r="F2" s="25"/>
      <c r="G2" s="26"/>
      <c r="H2" s="29" t="s">
        <v>14</v>
      </c>
      <c r="I2" s="30"/>
      <c r="J2" s="30"/>
      <c r="K2" s="30"/>
      <c r="L2" s="30"/>
      <c r="M2" s="31"/>
      <c r="N2" s="32" t="s">
        <v>19</v>
      </c>
      <c r="O2" s="33"/>
      <c r="P2" s="34"/>
      <c r="S2" s="27" t="s">
        <v>21</v>
      </c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</row>
    <row r="3" spans="1:39" ht="15" thickBot="1" x14ac:dyDescent="0.35">
      <c r="A3" s="17" t="s">
        <v>2</v>
      </c>
      <c r="B3" s="18" t="s">
        <v>3</v>
      </c>
      <c r="C3" s="18" t="s">
        <v>4</v>
      </c>
      <c r="D3" s="18" t="s">
        <v>24</v>
      </c>
      <c r="E3" s="18" t="s">
        <v>5</v>
      </c>
      <c r="F3" s="18" t="s">
        <v>6</v>
      </c>
      <c r="G3" s="18" t="s">
        <v>12</v>
      </c>
      <c r="H3" s="19" t="s">
        <v>7</v>
      </c>
      <c r="I3" s="19" t="s">
        <v>8</v>
      </c>
      <c r="J3" s="19" t="s">
        <v>11</v>
      </c>
      <c r="K3" s="19" t="s">
        <v>10</v>
      </c>
      <c r="L3" s="19" t="s">
        <v>9</v>
      </c>
      <c r="M3" s="19" t="s">
        <v>15</v>
      </c>
      <c r="N3" s="20" t="s">
        <v>16</v>
      </c>
      <c r="O3" s="20" t="s">
        <v>17</v>
      </c>
      <c r="P3" s="20" t="s">
        <v>18</v>
      </c>
      <c r="Q3" s="17" t="s">
        <v>20</v>
      </c>
      <c r="R3" s="21" t="s">
        <v>0</v>
      </c>
      <c r="S3" s="22">
        <v>1</v>
      </c>
      <c r="T3" s="22">
        <v>2</v>
      </c>
      <c r="U3" s="22">
        <v>3</v>
      </c>
      <c r="V3" s="22">
        <v>4</v>
      </c>
      <c r="W3" s="22">
        <v>5</v>
      </c>
      <c r="X3" s="22">
        <v>6</v>
      </c>
      <c r="Y3" s="22">
        <v>7</v>
      </c>
      <c r="Z3" s="22">
        <v>8</v>
      </c>
      <c r="AA3" s="22">
        <v>9</v>
      </c>
      <c r="AB3" s="22">
        <v>10</v>
      </c>
      <c r="AC3" s="22">
        <v>11</v>
      </c>
      <c r="AD3" s="22">
        <v>12</v>
      </c>
      <c r="AE3" s="22">
        <v>13</v>
      </c>
      <c r="AF3" s="22">
        <v>14</v>
      </c>
      <c r="AG3" s="22">
        <v>15</v>
      </c>
      <c r="AH3" s="22">
        <v>16</v>
      </c>
      <c r="AI3" s="22">
        <v>17</v>
      </c>
      <c r="AJ3" s="22">
        <v>18</v>
      </c>
      <c r="AK3" s="22">
        <v>19</v>
      </c>
      <c r="AL3" s="22">
        <v>20</v>
      </c>
      <c r="AM3" t="s">
        <v>25</v>
      </c>
    </row>
    <row r="4" spans="1:39" ht="15" thickBot="1" x14ac:dyDescent="0.35">
      <c r="A4" s="38" t="s">
        <v>62</v>
      </c>
      <c r="B4" s="12"/>
      <c r="C4" s="12"/>
      <c r="D4" s="12"/>
      <c r="E4" s="12"/>
      <c r="F4" s="12"/>
      <c r="G4" s="12"/>
      <c r="H4" s="13"/>
      <c r="I4" s="13"/>
      <c r="J4" s="13">
        <f>IF(COUNTIF(S4:AL4,"&gt;=3")&gt;=3,1,0)</f>
        <v>0</v>
      </c>
      <c r="K4" s="13">
        <f t="array" ref="K4">IF(MAX(FREQUENCY(IF(S4:AL4&gt;0,COLUMN(S4:AL4)),IF(S4:AL4&lt;=0,COLUMN(S4:AL4))))&gt;4,1,0)</f>
        <v>0</v>
      </c>
      <c r="L4" s="13"/>
      <c r="M4" s="13"/>
      <c r="N4" s="14"/>
      <c r="O4" s="14"/>
      <c r="P4" s="14"/>
      <c r="Q4" s="15">
        <f>SUM(B4:G4)+3*SUM(H4:M4)+5*SUM(N4:P4)+SUM(S4:AM4)</f>
        <v>0</v>
      </c>
      <c r="R4" s="15" t="str">
        <f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</row>
    <row r="5" spans="1:39" ht="15" thickBot="1" x14ac:dyDescent="0.35">
      <c r="A5" s="39" t="s">
        <v>63</v>
      </c>
      <c r="B5" s="12"/>
      <c r="C5" s="12"/>
      <c r="D5" s="12"/>
      <c r="E5" s="12"/>
      <c r="F5" s="12"/>
      <c r="G5" s="12"/>
      <c r="H5" s="13"/>
      <c r="I5" s="13"/>
      <c r="J5" s="13">
        <f t="shared" ref="J5:J43" si="0">IF(COUNTIF(S5:AL5,"&gt;=3")&gt;=3,1,0)</f>
        <v>0</v>
      </c>
      <c r="K5" s="13">
        <f t="array" ref="K5">IF(MAX(FREQUENCY(IF(S5:AL5&gt;0,COLUMN(S5:AL5)),IF(S5:AL5&lt;=0,COLUMN(S5:AL5))))&gt;4,1,0)</f>
        <v>0</v>
      </c>
      <c r="L5" s="13"/>
      <c r="M5" s="13"/>
      <c r="N5" s="14"/>
      <c r="O5" s="14"/>
      <c r="P5" s="14"/>
      <c r="Q5" s="15">
        <f t="shared" ref="Q5:Q43" si="1">SUM(B5:G5)+3*SUM(H5:M5)+5*SUM(N5:P5)+SUM(S5:AM5)</f>
        <v>0</v>
      </c>
      <c r="R5" s="15" t="str">
        <f t="shared" ref="R5:R43" si="2">CONCATENATE("-",IF(B5=1,$B$3&amp;", ",""),IF(C5=1,$C$3&amp;", ",""),IF(D5=1,$D$3&amp;", ",""),IF(E5=1,$E$3&amp;", ",""),IF(F5=1,$F$3&amp;", ",""),IF(G5=1,$G$3&amp;", ",""),IF(H5=1,$H$3&amp;", ",""),IF(I5=1,$I$3&amp;", ",""),IF(J5=1,$J$3&amp;", ",""),IF(K5=1,$K$3&amp;", ",""),IF(L5=1,$L$3&amp;", ",""),IF(M5=1,$M$3&amp;", ",""),IF(N5=1,$N$3&amp;", ",""),IF(O5=1,$O$3&amp;", ",""),IF(P5=1,$P$3&amp;", ",""))</f>
        <v>-</v>
      </c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</row>
    <row r="6" spans="1:39" ht="15" thickBot="1" x14ac:dyDescent="0.35">
      <c r="A6" s="39" t="s">
        <v>64</v>
      </c>
      <c r="B6" s="12"/>
      <c r="C6" s="12"/>
      <c r="D6" s="12"/>
      <c r="E6" s="12"/>
      <c r="F6" s="12"/>
      <c r="G6" s="12"/>
      <c r="H6" s="13"/>
      <c r="I6" s="13"/>
      <c r="J6" s="13">
        <f t="shared" si="0"/>
        <v>0</v>
      </c>
      <c r="K6" s="13">
        <f t="array" ref="K6">IF(MAX(FREQUENCY(IF(S6:AL6&gt;0,COLUMN(S6:AL6)),IF(S6:AL6&lt;=0,COLUMN(S6:AL6))))&gt;4,1,0)</f>
        <v>0</v>
      </c>
      <c r="L6" s="13"/>
      <c r="M6" s="13"/>
      <c r="N6" s="14"/>
      <c r="O6" s="14"/>
      <c r="P6" s="14"/>
      <c r="Q6" s="15">
        <f t="shared" si="1"/>
        <v>0</v>
      </c>
      <c r="R6" s="15" t="str">
        <f t="shared" si="2"/>
        <v>-</v>
      </c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</row>
    <row r="7" spans="1:39" ht="15" thickBot="1" x14ac:dyDescent="0.35">
      <c r="A7" s="39" t="s">
        <v>65</v>
      </c>
      <c r="B7" s="12"/>
      <c r="C7" s="12"/>
      <c r="D7" s="12"/>
      <c r="E7" s="12"/>
      <c r="F7" s="12"/>
      <c r="G7" s="12"/>
      <c r="H7" s="13"/>
      <c r="I7" s="13"/>
      <c r="J7" s="13">
        <f t="shared" si="0"/>
        <v>0</v>
      </c>
      <c r="K7" s="13">
        <f t="array" ref="K7">IF(MAX(FREQUENCY(IF(S7:AL7&gt;0,COLUMN(S7:AL7)),IF(S7:AL7&lt;=0,COLUMN(S7:AL7))))&gt;4,1,0)</f>
        <v>0</v>
      </c>
      <c r="L7" s="13"/>
      <c r="M7" s="13"/>
      <c r="N7" s="14"/>
      <c r="O7" s="14"/>
      <c r="P7" s="14"/>
      <c r="Q7" s="15">
        <f t="shared" si="1"/>
        <v>0</v>
      </c>
      <c r="R7" s="15" t="str">
        <f t="shared" si="2"/>
        <v>-</v>
      </c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</row>
    <row r="8" spans="1:39" ht="15" thickBot="1" x14ac:dyDescent="0.35">
      <c r="A8" s="39" t="s">
        <v>66</v>
      </c>
      <c r="B8" s="12"/>
      <c r="C8" s="12"/>
      <c r="D8" s="12"/>
      <c r="E8" s="12"/>
      <c r="F8" s="12"/>
      <c r="G8" s="12"/>
      <c r="H8" s="13"/>
      <c r="I8" s="13"/>
      <c r="J8" s="13">
        <f t="shared" si="0"/>
        <v>0</v>
      </c>
      <c r="K8" s="13">
        <f t="array" ref="K8">IF(MAX(FREQUENCY(IF(S8:AL8&gt;0,COLUMN(S8:AL8)),IF(S8:AL8&lt;=0,COLUMN(S8:AL8))))&gt;4,1,0)</f>
        <v>0</v>
      </c>
      <c r="L8" s="13"/>
      <c r="M8" s="13"/>
      <c r="N8" s="14"/>
      <c r="O8" s="14"/>
      <c r="P8" s="14"/>
      <c r="Q8" s="15">
        <f t="shared" si="1"/>
        <v>0</v>
      </c>
      <c r="R8" s="15" t="str">
        <f t="shared" si="2"/>
        <v>-</v>
      </c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</row>
    <row r="9" spans="1:39" ht="15" thickBot="1" x14ac:dyDescent="0.35">
      <c r="A9" s="39" t="s">
        <v>67</v>
      </c>
      <c r="B9" s="12"/>
      <c r="C9" s="12"/>
      <c r="D9" s="12"/>
      <c r="E9" s="12"/>
      <c r="F9" s="12"/>
      <c r="G9" s="12"/>
      <c r="H9" s="13"/>
      <c r="I9" s="13"/>
      <c r="J9" s="13">
        <f t="shared" si="0"/>
        <v>0</v>
      </c>
      <c r="K9" s="13">
        <f t="array" ref="K9">IF(MAX(FREQUENCY(IF(S9:AL9&gt;0,COLUMN(S9:AL9)),IF(S9:AL9&lt;=0,COLUMN(S9:AL9))))&gt;4,1,0)</f>
        <v>0</v>
      </c>
      <c r="L9" s="13"/>
      <c r="M9" s="13"/>
      <c r="N9" s="14"/>
      <c r="O9" s="14"/>
      <c r="P9" s="14"/>
      <c r="Q9" s="15">
        <f t="shared" si="1"/>
        <v>0</v>
      </c>
      <c r="R9" s="15" t="str">
        <f t="shared" si="2"/>
        <v>-</v>
      </c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</row>
    <row r="10" spans="1:39" ht="15" thickBot="1" x14ac:dyDescent="0.35">
      <c r="A10" s="39" t="s">
        <v>68</v>
      </c>
      <c r="B10" s="12"/>
      <c r="C10" s="12"/>
      <c r="D10" s="12"/>
      <c r="E10" s="12"/>
      <c r="F10" s="12"/>
      <c r="G10" s="12"/>
      <c r="H10" s="13"/>
      <c r="I10" s="13"/>
      <c r="J10" s="13">
        <f t="shared" si="0"/>
        <v>0</v>
      </c>
      <c r="K10" s="13">
        <f t="array" ref="K10">IF(MAX(FREQUENCY(IF(S10:AL10&gt;0,COLUMN(S10:AL10)),IF(S10:AL10&lt;=0,COLUMN(S10:AL10))))&gt;4,1,0)</f>
        <v>0</v>
      </c>
      <c r="L10" s="13"/>
      <c r="M10" s="13"/>
      <c r="N10" s="14"/>
      <c r="O10" s="14"/>
      <c r="P10" s="14"/>
      <c r="Q10" s="15">
        <f t="shared" si="1"/>
        <v>0</v>
      </c>
      <c r="R10" s="15" t="str">
        <f t="shared" si="2"/>
        <v>-</v>
      </c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</row>
    <row r="11" spans="1:39" ht="15" thickBot="1" x14ac:dyDescent="0.35">
      <c r="A11" s="39" t="s">
        <v>69</v>
      </c>
      <c r="B11" s="12"/>
      <c r="C11" s="12"/>
      <c r="D11" s="12"/>
      <c r="E11" s="12"/>
      <c r="F11" s="12"/>
      <c r="G11" s="12"/>
      <c r="H11" s="13"/>
      <c r="I11" s="13"/>
      <c r="J11" s="13">
        <f t="shared" si="0"/>
        <v>0</v>
      </c>
      <c r="K11" s="13">
        <f t="array" ref="K11">IF(MAX(FREQUENCY(IF(S11:AL11&gt;0,COLUMN(S11:AL11)),IF(S11:AL11&lt;=0,COLUMN(S11:AL11))))&gt;4,1,0)</f>
        <v>0</v>
      </c>
      <c r="L11" s="13"/>
      <c r="M11" s="13"/>
      <c r="N11" s="14"/>
      <c r="O11" s="14"/>
      <c r="P11" s="14"/>
      <c r="Q11" s="15">
        <f t="shared" si="1"/>
        <v>0</v>
      </c>
      <c r="R11" s="15" t="str">
        <f t="shared" si="2"/>
        <v>-</v>
      </c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</row>
    <row r="12" spans="1:39" ht="15" thickBot="1" x14ac:dyDescent="0.35">
      <c r="A12" s="39" t="s">
        <v>70</v>
      </c>
      <c r="B12" s="12"/>
      <c r="C12" s="12"/>
      <c r="D12" s="12"/>
      <c r="E12" s="12"/>
      <c r="F12" s="12"/>
      <c r="G12" s="12"/>
      <c r="H12" s="13"/>
      <c r="I12" s="13"/>
      <c r="J12" s="13">
        <f t="shared" si="0"/>
        <v>0</v>
      </c>
      <c r="K12" s="13">
        <f t="array" ref="K12">IF(MAX(FREQUENCY(IF(S12:AL12&gt;0,COLUMN(S12:AL12)),IF(S12:AL12&lt;=0,COLUMN(S12:AL12))))&gt;4,1,0)</f>
        <v>0</v>
      </c>
      <c r="L12" s="13"/>
      <c r="M12" s="13"/>
      <c r="N12" s="14"/>
      <c r="O12" s="14"/>
      <c r="P12" s="14"/>
      <c r="Q12" s="15">
        <f t="shared" si="1"/>
        <v>0</v>
      </c>
      <c r="R12" s="15" t="str">
        <f t="shared" si="2"/>
        <v>-</v>
      </c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</row>
    <row r="13" spans="1:39" ht="15" thickBot="1" x14ac:dyDescent="0.35">
      <c r="A13" s="39" t="s">
        <v>52</v>
      </c>
      <c r="B13" s="12"/>
      <c r="C13" s="12"/>
      <c r="D13" s="12"/>
      <c r="E13" s="12"/>
      <c r="F13" s="12"/>
      <c r="G13" s="12"/>
      <c r="H13" s="13"/>
      <c r="I13" s="13"/>
      <c r="J13" s="13">
        <f t="shared" si="0"/>
        <v>0</v>
      </c>
      <c r="K13" s="13">
        <f t="array" ref="K13">IF(MAX(FREQUENCY(IF(S13:AL13&gt;0,COLUMN(S13:AL13)),IF(S13:AL13&lt;=0,COLUMN(S13:AL13))))&gt;4,1,0)</f>
        <v>0</v>
      </c>
      <c r="L13" s="13"/>
      <c r="M13" s="13"/>
      <c r="N13" s="14"/>
      <c r="O13" s="14"/>
      <c r="P13" s="14"/>
      <c r="Q13" s="15">
        <f t="shared" si="1"/>
        <v>0</v>
      </c>
      <c r="R13" s="15" t="str">
        <f t="shared" si="2"/>
        <v>-</v>
      </c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</row>
    <row r="14" spans="1:39" ht="15" thickBot="1" x14ac:dyDescent="0.35">
      <c r="A14" s="39" t="s">
        <v>71</v>
      </c>
      <c r="B14" s="12"/>
      <c r="C14" s="12"/>
      <c r="D14" s="12"/>
      <c r="E14" s="12"/>
      <c r="F14" s="12"/>
      <c r="G14" s="12"/>
      <c r="H14" s="13"/>
      <c r="I14" s="13"/>
      <c r="J14" s="13">
        <f t="shared" si="0"/>
        <v>0</v>
      </c>
      <c r="K14" s="13">
        <f t="array" ref="K14">IF(MAX(FREQUENCY(IF(S14:AL14&gt;0,COLUMN(S14:AL14)),IF(S14:AL14&lt;=0,COLUMN(S14:AL14))))&gt;4,1,0)</f>
        <v>0</v>
      </c>
      <c r="L14" s="13"/>
      <c r="M14" s="13"/>
      <c r="N14" s="14"/>
      <c r="O14" s="14"/>
      <c r="P14" s="14"/>
      <c r="Q14" s="15">
        <f t="shared" si="1"/>
        <v>0</v>
      </c>
      <c r="R14" s="15" t="str">
        <f t="shared" si="2"/>
        <v>-</v>
      </c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</row>
    <row r="15" spans="1:39" ht="15" thickBot="1" x14ac:dyDescent="0.35">
      <c r="A15" s="39" t="s">
        <v>72</v>
      </c>
      <c r="B15" s="12"/>
      <c r="C15" s="12"/>
      <c r="D15" s="12"/>
      <c r="E15" s="12"/>
      <c r="F15" s="12"/>
      <c r="G15" s="12"/>
      <c r="H15" s="13"/>
      <c r="I15" s="13"/>
      <c r="J15" s="13">
        <f t="shared" si="0"/>
        <v>0</v>
      </c>
      <c r="K15" s="13">
        <f t="array" ref="K15">IF(MAX(FREQUENCY(IF(S15:AL15&gt;0,COLUMN(S15:AL15)),IF(S15:AL15&lt;=0,COLUMN(S15:AL15))))&gt;4,1,0)</f>
        <v>0</v>
      </c>
      <c r="L15" s="13"/>
      <c r="M15" s="13"/>
      <c r="N15" s="14"/>
      <c r="O15" s="14"/>
      <c r="P15" s="14"/>
      <c r="Q15" s="15">
        <f t="shared" si="1"/>
        <v>0</v>
      </c>
      <c r="R15" s="15" t="str">
        <f t="shared" si="2"/>
        <v>-</v>
      </c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</row>
    <row r="16" spans="1:39" ht="15" thickBot="1" x14ac:dyDescent="0.35">
      <c r="A16" s="39" t="s">
        <v>73</v>
      </c>
      <c r="B16" s="12"/>
      <c r="C16" s="12"/>
      <c r="D16" s="12"/>
      <c r="E16" s="12"/>
      <c r="F16" s="12"/>
      <c r="G16" s="12"/>
      <c r="H16" s="13"/>
      <c r="I16" s="13"/>
      <c r="J16" s="13">
        <f t="shared" si="0"/>
        <v>0</v>
      </c>
      <c r="K16" s="13">
        <f t="array" ref="K16">IF(MAX(FREQUENCY(IF(S16:AL16&gt;0,COLUMN(S16:AL16)),IF(S16:AL16&lt;=0,COLUMN(S16:AL16))))&gt;4,1,0)</f>
        <v>0</v>
      </c>
      <c r="L16" s="13"/>
      <c r="M16" s="13"/>
      <c r="N16" s="14"/>
      <c r="O16" s="14"/>
      <c r="P16" s="14"/>
      <c r="Q16" s="15">
        <f t="shared" si="1"/>
        <v>0</v>
      </c>
      <c r="R16" s="15" t="str">
        <f t="shared" si="2"/>
        <v>-</v>
      </c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</row>
    <row r="17" spans="1:38" ht="15" thickBot="1" x14ac:dyDescent="0.35">
      <c r="A17" s="39" t="s">
        <v>74</v>
      </c>
      <c r="B17" s="12"/>
      <c r="C17" s="12"/>
      <c r="D17" s="12"/>
      <c r="E17" s="12"/>
      <c r="F17" s="12"/>
      <c r="G17" s="12"/>
      <c r="H17" s="13"/>
      <c r="I17" s="13"/>
      <c r="J17" s="13">
        <f t="shared" si="0"/>
        <v>0</v>
      </c>
      <c r="K17" s="13">
        <f t="array" ref="K17">IF(MAX(FREQUENCY(IF(S17:AL17&gt;0,COLUMN(S17:AL17)),IF(S17:AL17&lt;=0,COLUMN(S17:AL17))))&gt;4,1,0)</f>
        <v>0</v>
      </c>
      <c r="L17" s="13"/>
      <c r="M17" s="13"/>
      <c r="N17" s="14"/>
      <c r="O17" s="14"/>
      <c r="P17" s="14"/>
      <c r="Q17" s="15">
        <f t="shared" si="1"/>
        <v>0</v>
      </c>
      <c r="R17" s="15" t="str">
        <f t="shared" si="2"/>
        <v>-</v>
      </c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</row>
    <row r="18" spans="1:38" ht="15" thickBot="1" x14ac:dyDescent="0.35">
      <c r="A18" s="39" t="s">
        <v>75</v>
      </c>
      <c r="B18" s="12"/>
      <c r="C18" s="12"/>
      <c r="D18" s="12"/>
      <c r="E18" s="12"/>
      <c r="F18" s="12"/>
      <c r="G18" s="12"/>
      <c r="H18" s="13"/>
      <c r="I18" s="13"/>
      <c r="J18" s="13">
        <f t="shared" si="0"/>
        <v>0</v>
      </c>
      <c r="K18" s="13">
        <f t="array" ref="K18">IF(MAX(FREQUENCY(IF(S18:AL18&gt;0,COLUMN(S18:AL18)),IF(S18:AL18&lt;=0,COLUMN(S18:AL18))))&gt;4,1,0)</f>
        <v>0</v>
      </c>
      <c r="L18" s="13"/>
      <c r="M18" s="13"/>
      <c r="N18" s="14"/>
      <c r="O18" s="14"/>
      <c r="P18" s="14"/>
      <c r="Q18" s="15">
        <f t="shared" si="1"/>
        <v>0</v>
      </c>
      <c r="R18" s="15" t="str">
        <f t="shared" si="2"/>
        <v>-</v>
      </c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</row>
    <row r="19" spans="1:38" ht="15" thickBot="1" x14ac:dyDescent="0.35">
      <c r="A19" s="39" t="s">
        <v>76</v>
      </c>
      <c r="B19" s="12"/>
      <c r="C19" s="12"/>
      <c r="D19" s="12"/>
      <c r="E19" s="12"/>
      <c r="F19" s="12"/>
      <c r="G19" s="12"/>
      <c r="H19" s="13"/>
      <c r="I19" s="13"/>
      <c r="J19" s="13">
        <f t="shared" si="0"/>
        <v>0</v>
      </c>
      <c r="K19" s="13">
        <f t="array" ref="K19">IF(MAX(FREQUENCY(IF(S19:AL19&gt;0,COLUMN(S19:AL19)),IF(S19:AL19&lt;=0,COLUMN(S19:AL19))))&gt;4,1,0)</f>
        <v>0</v>
      </c>
      <c r="L19" s="13"/>
      <c r="M19" s="13"/>
      <c r="N19" s="14"/>
      <c r="O19" s="14"/>
      <c r="P19" s="14"/>
      <c r="Q19" s="15">
        <f t="shared" si="1"/>
        <v>0</v>
      </c>
      <c r="R19" s="15" t="str">
        <f t="shared" si="2"/>
        <v>-</v>
      </c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</row>
    <row r="20" spans="1:38" ht="15" thickBot="1" x14ac:dyDescent="0.35">
      <c r="A20" s="39" t="s">
        <v>77</v>
      </c>
      <c r="B20" s="12"/>
      <c r="C20" s="12"/>
      <c r="D20" s="12"/>
      <c r="E20" s="12"/>
      <c r="F20" s="12"/>
      <c r="G20" s="12"/>
      <c r="H20" s="13"/>
      <c r="I20" s="13"/>
      <c r="J20" s="13">
        <f t="shared" si="0"/>
        <v>0</v>
      </c>
      <c r="K20" s="13">
        <f t="array" ref="K20">IF(MAX(FREQUENCY(IF(S20:AL20&gt;0,COLUMN(S20:AL20)),IF(S20:AL20&lt;=0,COLUMN(S20:AL20))))&gt;4,1,0)</f>
        <v>0</v>
      </c>
      <c r="L20" s="13"/>
      <c r="M20" s="13"/>
      <c r="N20" s="14"/>
      <c r="O20" s="14"/>
      <c r="P20" s="14"/>
      <c r="Q20" s="15">
        <f t="shared" si="1"/>
        <v>0</v>
      </c>
      <c r="R20" s="15" t="str">
        <f t="shared" si="2"/>
        <v>-</v>
      </c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</row>
    <row r="21" spans="1:38" ht="15" thickBot="1" x14ac:dyDescent="0.35">
      <c r="A21" s="39" t="s">
        <v>78</v>
      </c>
      <c r="B21" s="12"/>
      <c r="C21" s="12"/>
      <c r="D21" s="12"/>
      <c r="E21" s="12"/>
      <c r="F21" s="12"/>
      <c r="G21" s="12"/>
      <c r="H21" s="13"/>
      <c r="I21" s="13"/>
      <c r="J21" s="13">
        <f t="shared" si="0"/>
        <v>0</v>
      </c>
      <c r="K21" s="13">
        <f t="array" ref="K21">IF(MAX(FREQUENCY(IF(S21:AL21&gt;0,COLUMN(S21:AL21)),IF(S21:AL21&lt;=0,COLUMN(S21:AL21))))&gt;4,1,0)</f>
        <v>0</v>
      </c>
      <c r="L21" s="13"/>
      <c r="M21" s="13"/>
      <c r="N21" s="14"/>
      <c r="O21" s="14"/>
      <c r="P21" s="14"/>
      <c r="Q21" s="15">
        <f t="shared" si="1"/>
        <v>0</v>
      </c>
      <c r="R21" s="15" t="str">
        <f t="shared" si="2"/>
        <v>-</v>
      </c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</row>
    <row r="22" spans="1:38" ht="15" thickBot="1" x14ac:dyDescent="0.35">
      <c r="A22" s="39" t="s">
        <v>79</v>
      </c>
      <c r="B22" s="12"/>
      <c r="C22" s="12"/>
      <c r="D22" s="12"/>
      <c r="E22" s="12"/>
      <c r="F22" s="12"/>
      <c r="G22" s="12"/>
      <c r="H22" s="13"/>
      <c r="I22" s="13"/>
      <c r="J22" s="13">
        <f t="shared" si="0"/>
        <v>0</v>
      </c>
      <c r="K22" s="13">
        <f t="array" ref="K22">IF(MAX(FREQUENCY(IF(S22:AL22&gt;0,COLUMN(S22:AL22)),IF(S22:AL22&lt;=0,COLUMN(S22:AL22))))&gt;4,1,0)</f>
        <v>0</v>
      </c>
      <c r="L22" s="13"/>
      <c r="M22" s="13"/>
      <c r="N22" s="14"/>
      <c r="O22" s="14"/>
      <c r="P22" s="14"/>
      <c r="Q22" s="15">
        <f t="shared" si="1"/>
        <v>0</v>
      </c>
      <c r="R22" s="15" t="str">
        <f t="shared" si="2"/>
        <v>-</v>
      </c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</row>
    <row r="23" spans="1:38" ht="15" thickBot="1" x14ac:dyDescent="0.35">
      <c r="A23" s="39" t="s">
        <v>80</v>
      </c>
      <c r="B23" s="12"/>
      <c r="C23" s="12"/>
      <c r="D23" s="12"/>
      <c r="E23" s="12"/>
      <c r="F23" s="12"/>
      <c r="G23" s="12"/>
      <c r="H23" s="13"/>
      <c r="I23" s="13"/>
      <c r="J23" s="13">
        <f t="shared" si="0"/>
        <v>0</v>
      </c>
      <c r="K23" s="13">
        <f t="array" ref="K23">IF(MAX(FREQUENCY(IF(S23:AL23&gt;0,COLUMN(S23:AL23)),IF(S23:AL23&lt;=0,COLUMN(S23:AL23))))&gt;4,1,0)</f>
        <v>0</v>
      </c>
      <c r="L23" s="13"/>
      <c r="M23" s="13"/>
      <c r="N23" s="14"/>
      <c r="O23" s="14"/>
      <c r="P23" s="14"/>
      <c r="Q23" s="15">
        <f t="shared" si="1"/>
        <v>0</v>
      </c>
      <c r="R23" s="15" t="str">
        <f t="shared" si="2"/>
        <v>-</v>
      </c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</row>
    <row r="24" spans="1:38" ht="15" thickBot="1" x14ac:dyDescent="0.35">
      <c r="A24" s="39" t="s">
        <v>81</v>
      </c>
      <c r="B24" s="12"/>
      <c r="C24" s="12"/>
      <c r="D24" s="12"/>
      <c r="E24" s="12"/>
      <c r="F24" s="12"/>
      <c r="G24" s="12"/>
      <c r="H24" s="13"/>
      <c r="I24" s="13"/>
      <c r="J24" s="13">
        <f t="shared" si="0"/>
        <v>0</v>
      </c>
      <c r="K24" s="13">
        <f t="array" ref="K24">IF(MAX(FREQUENCY(IF(S24:AL24&gt;0,COLUMN(S24:AL24)),IF(S24:AL24&lt;=0,COLUMN(S24:AL24))))&gt;4,1,0)</f>
        <v>0</v>
      </c>
      <c r="L24" s="13"/>
      <c r="M24" s="13"/>
      <c r="N24" s="14"/>
      <c r="O24" s="14"/>
      <c r="P24" s="14"/>
      <c r="Q24" s="15">
        <f t="shared" si="1"/>
        <v>0</v>
      </c>
      <c r="R24" s="15" t="str">
        <f t="shared" si="2"/>
        <v>-</v>
      </c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</row>
    <row r="25" spans="1:38" ht="15" thickBot="1" x14ac:dyDescent="0.35">
      <c r="A25" s="39" t="s">
        <v>82</v>
      </c>
      <c r="B25" s="12"/>
      <c r="C25" s="12"/>
      <c r="D25" s="12"/>
      <c r="E25" s="12"/>
      <c r="F25" s="12"/>
      <c r="G25" s="12"/>
      <c r="H25" s="13"/>
      <c r="I25" s="13"/>
      <c r="J25" s="13">
        <f t="shared" si="0"/>
        <v>0</v>
      </c>
      <c r="K25" s="13">
        <f t="array" ref="K25">IF(MAX(FREQUENCY(IF(S25:AL25&gt;0,COLUMN(S25:AL25)),IF(S25:AL25&lt;=0,COLUMN(S25:AL25))))&gt;4,1,0)</f>
        <v>0</v>
      </c>
      <c r="L25" s="13"/>
      <c r="M25" s="13"/>
      <c r="N25" s="14"/>
      <c r="O25" s="14"/>
      <c r="P25" s="14"/>
      <c r="Q25" s="15">
        <f t="shared" si="1"/>
        <v>0</v>
      </c>
      <c r="R25" s="15" t="str">
        <f t="shared" si="2"/>
        <v>-</v>
      </c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</row>
    <row r="26" spans="1:38" ht="15" thickBot="1" x14ac:dyDescent="0.35">
      <c r="A26" s="39" t="s">
        <v>83</v>
      </c>
      <c r="B26" s="12"/>
      <c r="C26" s="12"/>
      <c r="D26" s="12"/>
      <c r="E26" s="12"/>
      <c r="F26" s="12"/>
      <c r="G26" s="12"/>
      <c r="H26" s="13"/>
      <c r="I26" s="13"/>
      <c r="J26" s="13">
        <f t="shared" si="0"/>
        <v>0</v>
      </c>
      <c r="K26" s="13">
        <f t="array" ref="K26">IF(MAX(FREQUENCY(IF(S26:AL26&gt;0,COLUMN(S26:AL26)),IF(S26:AL26&lt;=0,COLUMN(S26:AL26))))&gt;4,1,0)</f>
        <v>0</v>
      </c>
      <c r="L26" s="13"/>
      <c r="M26" s="13"/>
      <c r="N26" s="14"/>
      <c r="O26" s="14"/>
      <c r="P26" s="14"/>
      <c r="Q26" s="15">
        <f t="shared" si="1"/>
        <v>0</v>
      </c>
      <c r="R26" s="15" t="str">
        <f t="shared" si="2"/>
        <v>-</v>
      </c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</row>
    <row r="27" spans="1:38" ht="15" thickBot="1" x14ac:dyDescent="0.35">
      <c r="A27" s="39" t="s">
        <v>84</v>
      </c>
      <c r="B27" s="12"/>
      <c r="C27" s="12"/>
      <c r="D27" s="12"/>
      <c r="E27" s="12"/>
      <c r="F27" s="12"/>
      <c r="G27" s="12"/>
      <c r="H27" s="13"/>
      <c r="I27" s="13"/>
      <c r="J27" s="13">
        <f t="shared" si="0"/>
        <v>0</v>
      </c>
      <c r="K27" s="13">
        <f t="array" ref="K27">IF(MAX(FREQUENCY(IF(S27:AL27&gt;0,COLUMN(S27:AL27)),IF(S27:AL27&lt;=0,COLUMN(S27:AL27))))&gt;4,1,0)</f>
        <v>0</v>
      </c>
      <c r="L27" s="13"/>
      <c r="M27" s="13"/>
      <c r="N27" s="14"/>
      <c r="O27" s="14"/>
      <c r="P27" s="14"/>
      <c r="Q27" s="15">
        <f t="shared" si="1"/>
        <v>0</v>
      </c>
      <c r="R27" s="15" t="str">
        <f t="shared" si="2"/>
        <v>-</v>
      </c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</row>
    <row r="28" spans="1:38" ht="15" thickBot="1" x14ac:dyDescent="0.35">
      <c r="A28" s="39" t="s">
        <v>85</v>
      </c>
      <c r="B28" s="12"/>
      <c r="C28" s="12"/>
      <c r="D28" s="12"/>
      <c r="E28" s="12"/>
      <c r="F28" s="12"/>
      <c r="G28" s="12"/>
      <c r="H28" s="13"/>
      <c r="I28" s="13"/>
      <c r="J28" s="13">
        <f t="shared" si="0"/>
        <v>0</v>
      </c>
      <c r="K28" s="13">
        <f t="array" ref="K28">IF(MAX(FREQUENCY(IF(S28:AL28&gt;0,COLUMN(S28:AL28)),IF(S28:AL28&lt;=0,COLUMN(S28:AL28))))&gt;4,1,0)</f>
        <v>0</v>
      </c>
      <c r="L28" s="13"/>
      <c r="M28" s="13"/>
      <c r="N28" s="14"/>
      <c r="O28" s="14"/>
      <c r="P28" s="14"/>
      <c r="Q28" s="15">
        <f t="shared" si="1"/>
        <v>0</v>
      </c>
      <c r="R28" s="15" t="str">
        <f t="shared" si="2"/>
        <v>-</v>
      </c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</row>
    <row r="29" spans="1:38" ht="15" thickBot="1" x14ac:dyDescent="0.35">
      <c r="A29" s="39" t="s">
        <v>86</v>
      </c>
      <c r="B29" s="12"/>
      <c r="C29" s="12"/>
      <c r="D29" s="12"/>
      <c r="E29" s="12"/>
      <c r="F29" s="12"/>
      <c r="G29" s="12"/>
      <c r="H29" s="13"/>
      <c r="I29" s="13"/>
      <c r="J29" s="13">
        <f t="shared" si="0"/>
        <v>0</v>
      </c>
      <c r="K29" s="13">
        <f t="array" ref="K29">IF(MAX(FREQUENCY(IF(S29:AL29&gt;0,COLUMN(S29:AL29)),IF(S29:AL29&lt;=0,COLUMN(S29:AL29))))&gt;4,1,0)</f>
        <v>0</v>
      </c>
      <c r="L29" s="13"/>
      <c r="M29" s="13"/>
      <c r="N29" s="14"/>
      <c r="O29" s="14"/>
      <c r="P29" s="14"/>
      <c r="Q29" s="15">
        <f t="shared" si="1"/>
        <v>0</v>
      </c>
      <c r="R29" s="15" t="str">
        <f t="shared" si="2"/>
        <v>-</v>
      </c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</row>
    <row r="30" spans="1:38" ht="15" thickBot="1" x14ac:dyDescent="0.35">
      <c r="A30" s="39" t="s">
        <v>87</v>
      </c>
      <c r="B30" s="12"/>
      <c r="C30" s="12"/>
      <c r="D30" s="12"/>
      <c r="E30" s="12"/>
      <c r="F30" s="12"/>
      <c r="G30" s="12"/>
      <c r="H30" s="13"/>
      <c r="I30" s="13"/>
      <c r="J30" s="13">
        <f t="shared" si="0"/>
        <v>0</v>
      </c>
      <c r="K30" s="13">
        <f t="array" ref="K30">IF(MAX(FREQUENCY(IF(S30:AL30&gt;0,COLUMN(S30:AL30)),IF(S30:AL30&lt;=0,COLUMN(S30:AL30))))&gt;4,1,0)</f>
        <v>0</v>
      </c>
      <c r="L30" s="13"/>
      <c r="M30" s="13"/>
      <c r="N30" s="14"/>
      <c r="O30" s="14"/>
      <c r="P30" s="14"/>
      <c r="Q30" s="15">
        <f t="shared" si="1"/>
        <v>0</v>
      </c>
      <c r="R30" s="15" t="str">
        <f t="shared" si="2"/>
        <v>-</v>
      </c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</row>
    <row r="31" spans="1:38" ht="15" thickBot="1" x14ac:dyDescent="0.35">
      <c r="A31" s="39" t="s">
        <v>88</v>
      </c>
      <c r="B31" s="12"/>
      <c r="C31" s="12"/>
      <c r="D31" s="12"/>
      <c r="E31" s="12"/>
      <c r="F31" s="12"/>
      <c r="G31" s="12"/>
      <c r="H31" s="13"/>
      <c r="I31" s="13"/>
      <c r="J31" s="13">
        <f t="shared" si="0"/>
        <v>0</v>
      </c>
      <c r="K31" s="13">
        <f t="array" ref="K31">IF(MAX(FREQUENCY(IF(S31:AL31&gt;0,COLUMN(S31:AL31)),IF(S31:AL31&lt;=0,COLUMN(S31:AL31))))&gt;4,1,0)</f>
        <v>0</v>
      </c>
      <c r="L31" s="13"/>
      <c r="M31" s="13"/>
      <c r="N31" s="14"/>
      <c r="O31" s="14"/>
      <c r="P31" s="14"/>
      <c r="Q31" s="15">
        <f t="shared" si="1"/>
        <v>0</v>
      </c>
      <c r="R31" s="15" t="str">
        <f t="shared" si="2"/>
        <v>-</v>
      </c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</row>
    <row r="32" spans="1:38" ht="15" thickBot="1" x14ac:dyDescent="0.35">
      <c r="A32" s="39" t="s">
        <v>89</v>
      </c>
      <c r="B32" s="12"/>
      <c r="C32" s="12"/>
      <c r="D32" s="12"/>
      <c r="E32" s="12"/>
      <c r="F32" s="12"/>
      <c r="G32" s="12"/>
      <c r="H32" s="13"/>
      <c r="I32" s="13"/>
      <c r="J32" s="13">
        <f t="shared" si="0"/>
        <v>0</v>
      </c>
      <c r="K32" s="13">
        <f t="array" ref="K32">IF(MAX(FREQUENCY(IF(S32:AL32&gt;0,COLUMN(S32:AL32)),IF(S32:AL32&lt;=0,COLUMN(S32:AL32))))&gt;4,1,0)</f>
        <v>0</v>
      </c>
      <c r="L32" s="13"/>
      <c r="M32" s="13"/>
      <c r="N32" s="14"/>
      <c r="O32" s="14"/>
      <c r="P32" s="14"/>
      <c r="Q32" s="15">
        <f t="shared" si="1"/>
        <v>0</v>
      </c>
      <c r="R32" s="15" t="str">
        <f t="shared" si="2"/>
        <v>-</v>
      </c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</row>
    <row r="33" spans="1:38" ht="15" thickBot="1" x14ac:dyDescent="0.35">
      <c r="A33" s="39" t="s">
        <v>90</v>
      </c>
      <c r="B33" s="12"/>
      <c r="C33" s="12"/>
      <c r="D33" s="12"/>
      <c r="E33" s="12"/>
      <c r="F33" s="12"/>
      <c r="G33" s="12"/>
      <c r="H33" s="13"/>
      <c r="I33" s="13"/>
      <c r="J33" s="13">
        <f t="shared" si="0"/>
        <v>0</v>
      </c>
      <c r="K33" s="13">
        <f t="array" ref="K33">IF(MAX(FREQUENCY(IF(S33:AL33&gt;0,COLUMN(S33:AL33)),IF(S33:AL33&lt;=0,COLUMN(S33:AL33))))&gt;4,1,0)</f>
        <v>0</v>
      </c>
      <c r="L33" s="13"/>
      <c r="M33" s="13"/>
      <c r="N33" s="14"/>
      <c r="O33" s="14"/>
      <c r="P33" s="14"/>
      <c r="Q33" s="15">
        <f t="shared" si="1"/>
        <v>0</v>
      </c>
      <c r="R33" s="15" t="str">
        <f t="shared" si="2"/>
        <v>-</v>
      </c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</row>
    <row r="34" spans="1:38" ht="15" thickBot="1" x14ac:dyDescent="0.35">
      <c r="A34" s="39" t="s">
        <v>91</v>
      </c>
      <c r="B34" s="12"/>
      <c r="C34" s="12"/>
      <c r="D34" s="12"/>
      <c r="E34" s="12"/>
      <c r="F34" s="12"/>
      <c r="G34" s="12"/>
      <c r="H34" s="13"/>
      <c r="I34" s="13"/>
      <c r="J34" s="13">
        <f t="shared" si="0"/>
        <v>0</v>
      </c>
      <c r="K34" s="13">
        <f t="array" ref="K34">IF(MAX(FREQUENCY(IF(S34:AL34&gt;0,COLUMN(S34:AL34)),IF(S34:AL34&lt;=0,COLUMN(S34:AL34))))&gt;4,1,0)</f>
        <v>0</v>
      </c>
      <c r="L34" s="13"/>
      <c r="M34" s="13"/>
      <c r="N34" s="14"/>
      <c r="O34" s="14"/>
      <c r="P34" s="14"/>
      <c r="Q34" s="15">
        <f t="shared" si="1"/>
        <v>0</v>
      </c>
      <c r="R34" s="15" t="str">
        <f t="shared" si="2"/>
        <v>-</v>
      </c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</row>
    <row r="35" spans="1:38" ht="15" thickBot="1" x14ac:dyDescent="0.35">
      <c r="A35" s="39" t="s">
        <v>92</v>
      </c>
      <c r="B35" s="12"/>
      <c r="C35" s="12"/>
      <c r="D35" s="12"/>
      <c r="E35" s="12"/>
      <c r="F35" s="12"/>
      <c r="G35" s="12"/>
      <c r="H35" s="13"/>
      <c r="I35" s="13"/>
      <c r="J35" s="13">
        <f t="shared" si="0"/>
        <v>0</v>
      </c>
      <c r="K35" s="13">
        <f t="array" ref="K35">IF(MAX(FREQUENCY(IF(S35:AL35&gt;0,COLUMN(S35:AL35)),IF(S35:AL35&lt;=0,COLUMN(S35:AL35))))&gt;4,1,0)</f>
        <v>0</v>
      </c>
      <c r="L35" s="13"/>
      <c r="M35" s="13"/>
      <c r="N35" s="14"/>
      <c r="O35" s="14"/>
      <c r="P35" s="14"/>
      <c r="Q35" s="15">
        <f t="shared" si="1"/>
        <v>0</v>
      </c>
      <c r="R35" s="15" t="str">
        <f t="shared" si="2"/>
        <v>-</v>
      </c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</row>
    <row r="36" spans="1:38" ht="15" thickBot="1" x14ac:dyDescent="0.35">
      <c r="A36" s="39" t="s">
        <v>93</v>
      </c>
      <c r="B36" s="12"/>
      <c r="C36" s="12"/>
      <c r="D36" s="12"/>
      <c r="E36" s="12"/>
      <c r="F36" s="12"/>
      <c r="G36" s="12"/>
      <c r="H36" s="13"/>
      <c r="I36" s="13"/>
      <c r="J36" s="13">
        <f t="shared" si="0"/>
        <v>0</v>
      </c>
      <c r="K36" s="13">
        <f t="array" ref="K36">IF(MAX(FREQUENCY(IF(S36:AL36&gt;0,COLUMN(S36:AL36)),IF(S36:AL36&lt;=0,COLUMN(S36:AL36))))&gt;4,1,0)</f>
        <v>0</v>
      </c>
      <c r="L36" s="13"/>
      <c r="M36" s="13"/>
      <c r="N36" s="14"/>
      <c r="O36" s="14"/>
      <c r="P36" s="14"/>
      <c r="Q36" s="15">
        <f t="shared" si="1"/>
        <v>0</v>
      </c>
      <c r="R36" s="15" t="str">
        <f t="shared" si="2"/>
        <v>-</v>
      </c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</row>
    <row r="37" spans="1:38" ht="15" thickBot="1" x14ac:dyDescent="0.35">
      <c r="A37" s="39" t="s">
        <v>94</v>
      </c>
      <c r="B37" s="12"/>
      <c r="C37" s="12"/>
      <c r="D37" s="12"/>
      <c r="E37" s="12"/>
      <c r="F37" s="12"/>
      <c r="G37" s="12"/>
      <c r="H37" s="13"/>
      <c r="I37" s="13"/>
      <c r="J37" s="13">
        <f t="shared" si="0"/>
        <v>0</v>
      </c>
      <c r="K37" s="13">
        <f t="array" ref="K37">IF(MAX(FREQUENCY(IF(S37:AL37&gt;0,COLUMN(S37:AL37)),IF(S37:AL37&lt;=0,COLUMN(S37:AL37))))&gt;4,1,0)</f>
        <v>0</v>
      </c>
      <c r="L37" s="13"/>
      <c r="M37" s="13"/>
      <c r="N37" s="14"/>
      <c r="O37" s="14"/>
      <c r="P37" s="14"/>
      <c r="Q37" s="15">
        <f t="shared" si="1"/>
        <v>0</v>
      </c>
      <c r="R37" s="15" t="str">
        <f t="shared" si="2"/>
        <v>-</v>
      </c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</row>
    <row r="38" spans="1:38" ht="15" thickBot="1" x14ac:dyDescent="0.35">
      <c r="A38" s="40" t="s">
        <v>95</v>
      </c>
      <c r="B38" s="12"/>
      <c r="C38" s="12"/>
      <c r="D38" s="12"/>
      <c r="E38" s="12"/>
      <c r="F38" s="12"/>
      <c r="G38" s="12"/>
      <c r="H38" s="13"/>
      <c r="I38" s="13"/>
      <c r="J38" s="13">
        <f t="shared" si="0"/>
        <v>0</v>
      </c>
      <c r="K38" s="13">
        <f t="array" ref="K38">IF(MAX(FREQUENCY(IF(S38:AL38&gt;0,COLUMN(S38:AL38)),IF(S38:AL38&lt;=0,COLUMN(S38:AL38))))&gt;4,1,0)</f>
        <v>0</v>
      </c>
      <c r="L38" s="13"/>
      <c r="M38" s="13"/>
      <c r="N38" s="14"/>
      <c r="O38" s="14"/>
      <c r="P38" s="14"/>
      <c r="Q38" s="15">
        <f t="shared" si="1"/>
        <v>0</v>
      </c>
      <c r="R38" s="15" t="str">
        <f t="shared" si="2"/>
        <v>-</v>
      </c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</row>
    <row r="39" spans="1:38" ht="15" thickBot="1" x14ac:dyDescent="0.35">
      <c r="A39" s="40" t="s">
        <v>96</v>
      </c>
      <c r="B39" s="12"/>
      <c r="C39" s="12"/>
      <c r="D39" s="12"/>
      <c r="E39" s="12"/>
      <c r="F39" s="12"/>
      <c r="G39" s="12"/>
      <c r="H39" s="13"/>
      <c r="I39" s="13"/>
      <c r="J39" s="13">
        <f t="shared" si="0"/>
        <v>0</v>
      </c>
      <c r="K39" s="13">
        <f t="array" ref="K39">IF(MAX(FREQUENCY(IF(S39:AL39&gt;0,COLUMN(S39:AL39)),IF(S39:AL39&lt;=0,COLUMN(S39:AL39))))&gt;4,1,0)</f>
        <v>0</v>
      </c>
      <c r="L39" s="13"/>
      <c r="M39" s="13"/>
      <c r="N39" s="14"/>
      <c r="O39" s="14"/>
      <c r="P39" s="14"/>
      <c r="Q39" s="15">
        <f t="shared" si="1"/>
        <v>0</v>
      </c>
      <c r="R39" s="15" t="str">
        <f t="shared" si="2"/>
        <v>-</v>
      </c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</row>
    <row r="40" spans="1:38" ht="15" thickBot="1" x14ac:dyDescent="0.35">
      <c r="A40" s="40" t="s">
        <v>97</v>
      </c>
      <c r="B40" s="12"/>
      <c r="C40" s="12"/>
      <c r="D40" s="12"/>
      <c r="E40" s="12"/>
      <c r="F40" s="12"/>
      <c r="G40" s="12"/>
      <c r="H40" s="13"/>
      <c r="I40" s="13"/>
      <c r="J40" s="13">
        <f t="shared" si="0"/>
        <v>0</v>
      </c>
      <c r="K40" s="13">
        <f t="array" ref="K40">IF(MAX(FREQUENCY(IF(S40:AL40&gt;0,COLUMN(S40:AL40)),IF(S40:AL40&lt;=0,COLUMN(S40:AL40))))&gt;4,1,0)</f>
        <v>0</v>
      </c>
      <c r="L40" s="13"/>
      <c r="M40" s="13"/>
      <c r="N40" s="14"/>
      <c r="O40" s="14"/>
      <c r="P40" s="14"/>
      <c r="Q40" s="15">
        <f t="shared" si="1"/>
        <v>0</v>
      </c>
      <c r="R40" s="15" t="str">
        <f t="shared" si="2"/>
        <v>-</v>
      </c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</row>
    <row r="41" spans="1:38" ht="15" thickBot="1" x14ac:dyDescent="0.35">
      <c r="A41" s="40" t="s">
        <v>98</v>
      </c>
      <c r="B41" s="12"/>
      <c r="C41" s="12"/>
      <c r="D41" s="12"/>
      <c r="E41" s="12"/>
      <c r="F41" s="12"/>
      <c r="G41" s="12"/>
      <c r="H41" s="13"/>
      <c r="I41" s="13"/>
      <c r="J41" s="13">
        <f t="shared" si="0"/>
        <v>0</v>
      </c>
      <c r="K41" s="13">
        <f t="array" ref="K41">IF(MAX(FREQUENCY(IF(S41:AL41&gt;0,COLUMN(S41:AL41)),IF(S41:AL41&lt;=0,COLUMN(S41:AL41))))&gt;4,1,0)</f>
        <v>0</v>
      </c>
      <c r="L41" s="13"/>
      <c r="M41" s="13"/>
      <c r="N41" s="14"/>
      <c r="O41" s="14"/>
      <c r="P41" s="14"/>
      <c r="Q41" s="15">
        <f t="shared" si="1"/>
        <v>0</v>
      </c>
      <c r="R41" s="15" t="str">
        <f t="shared" si="2"/>
        <v>-</v>
      </c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</row>
    <row r="42" spans="1:38" ht="15" thickBot="1" x14ac:dyDescent="0.35">
      <c r="A42" s="41" t="s">
        <v>99</v>
      </c>
      <c r="B42" s="12"/>
      <c r="C42" s="12"/>
      <c r="D42" s="12"/>
      <c r="E42" s="12"/>
      <c r="F42" s="12"/>
      <c r="G42" s="12"/>
      <c r="H42" s="13"/>
      <c r="I42" s="13"/>
      <c r="J42" s="13">
        <f t="shared" si="0"/>
        <v>0</v>
      </c>
      <c r="K42" s="13">
        <f t="array" ref="K42">IF(MAX(FREQUENCY(IF(S42:AL42&gt;0,COLUMN(S42:AL42)),IF(S42:AL42&lt;=0,COLUMN(S42:AL42))))&gt;4,1,0)</f>
        <v>0</v>
      </c>
      <c r="L42" s="13"/>
      <c r="M42" s="13"/>
      <c r="N42" s="14"/>
      <c r="O42" s="14"/>
      <c r="P42" s="14"/>
      <c r="Q42" s="15">
        <f t="shared" si="1"/>
        <v>0</v>
      </c>
      <c r="R42" s="15" t="str">
        <f t="shared" si="2"/>
        <v>-</v>
      </c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</row>
    <row r="43" spans="1:38" ht="15" thickBot="1" x14ac:dyDescent="0.35">
      <c r="A43" s="42" t="s">
        <v>100</v>
      </c>
      <c r="B43" s="12"/>
      <c r="C43" s="12"/>
      <c r="D43" s="12"/>
      <c r="E43" s="12"/>
      <c r="F43" s="12"/>
      <c r="G43" s="12"/>
      <c r="H43" s="13"/>
      <c r="I43" s="13"/>
      <c r="J43" s="13">
        <f t="shared" si="0"/>
        <v>0</v>
      </c>
      <c r="K43" s="13">
        <f t="array" ref="K43">IF(MAX(FREQUENCY(IF(S43:AL43&gt;0,COLUMN(S43:AL43)),IF(S43:AL43&lt;=0,COLUMN(S43:AL43))))&gt;4,1,0)</f>
        <v>0</v>
      </c>
      <c r="L43" s="13"/>
      <c r="M43" s="13"/>
      <c r="N43" s="14"/>
      <c r="O43" s="14"/>
      <c r="P43" s="14"/>
      <c r="Q43" s="15">
        <f t="shared" si="1"/>
        <v>0</v>
      </c>
      <c r="R43" s="15" t="str">
        <f t="shared" si="2"/>
        <v>-</v>
      </c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</row>
  </sheetData>
  <mergeCells count="5">
    <mergeCell ref="H1:M1"/>
    <mergeCell ref="B2:G2"/>
    <mergeCell ref="H2:M2"/>
    <mergeCell ref="N2:P2"/>
    <mergeCell ref="S2:AL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27AAA-4273-4764-8607-BD9349D25AED}">
  <dimension ref="A1:C41"/>
  <sheetViews>
    <sheetView workbookViewId="0">
      <selection activeCell="I21" sqref="I21"/>
    </sheetView>
  </sheetViews>
  <sheetFormatPr defaultRowHeight="14.4" x14ac:dyDescent="0.3"/>
  <sheetData>
    <row r="1" spans="1:3" x14ac:dyDescent="0.3">
      <c r="A1" t="s">
        <v>23</v>
      </c>
      <c r="B1" t="s">
        <v>0</v>
      </c>
      <c r="C1" t="s">
        <v>22</v>
      </c>
    </row>
    <row r="2" spans="1:3" x14ac:dyDescent="0.3">
      <c r="A2" t="str">
        <f>'Sec 2 G3'!A4</f>
        <v>En Qi</v>
      </c>
      <c r="B2" t="str">
        <f>'Sec 2 G3'!R4</f>
        <v>-</v>
      </c>
      <c r="C2">
        <f>'Sec 2 G3'!Q4</f>
        <v>0</v>
      </c>
    </row>
    <row r="3" spans="1:3" x14ac:dyDescent="0.3">
      <c r="A3" t="str">
        <f>'Sec 2 G3'!A5</f>
        <v>Lee Ren</v>
      </c>
      <c r="B3" t="str">
        <f>'Sec 2 G3'!R5</f>
        <v>-</v>
      </c>
      <c r="C3">
        <f>'Sec 2 G3'!Q5</f>
        <v>0</v>
      </c>
    </row>
    <row r="4" spans="1:3" x14ac:dyDescent="0.3">
      <c r="A4" t="str">
        <f>'Sec 2 G3'!A6</f>
        <v>Andreas</v>
      </c>
      <c r="B4" t="str">
        <f>'Sec 2 G3'!R6</f>
        <v>-</v>
      </c>
      <c r="C4">
        <f>'Sec 2 G3'!Q6</f>
        <v>0</v>
      </c>
    </row>
    <row r="5" spans="1:3" x14ac:dyDescent="0.3">
      <c r="A5" t="str">
        <f>'Sec 2 G3'!A7</f>
        <v>Bao Le</v>
      </c>
      <c r="B5" t="str">
        <f>'Sec 2 G3'!R7</f>
        <v>-</v>
      </c>
      <c r="C5">
        <f>'Sec 2 G3'!Q7</f>
        <v>0</v>
      </c>
    </row>
    <row r="6" spans="1:3" x14ac:dyDescent="0.3">
      <c r="A6" t="str">
        <f>'Sec 2 G3'!A8</f>
        <v>Sofia</v>
      </c>
      <c r="B6" t="str">
        <f>'Sec 2 G3'!R8</f>
        <v>-</v>
      </c>
      <c r="C6">
        <f>'Sec 2 G3'!Q8</f>
        <v>0</v>
      </c>
    </row>
    <row r="7" spans="1:3" x14ac:dyDescent="0.3">
      <c r="A7" t="str">
        <f>'Sec 2 G3'!A9</f>
        <v>Jayden Soh</v>
      </c>
      <c r="B7" t="str">
        <f>'Sec 2 G3'!R9</f>
        <v>-</v>
      </c>
      <c r="C7">
        <f>'Sec 2 G3'!Q9</f>
        <v>0</v>
      </c>
    </row>
    <row r="8" spans="1:3" x14ac:dyDescent="0.3">
      <c r="A8" t="str">
        <f>'Sec 2 G3'!A10</f>
        <v>Geng Qi</v>
      </c>
      <c r="B8" t="str">
        <f>'Sec 2 G3'!R10</f>
        <v>-</v>
      </c>
      <c r="C8">
        <f>'Sec 2 G3'!Q10</f>
        <v>0</v>
      </c>
    </row>
    <row r="9" spans="1:3" x14ac:dyDescent="0.3">
      <c r="A9" t="str">
        <f>'Sec 2 G3'!A11</f>
        <v>Qiu Yun</v>
      </c>
      <c r="B9" t="str">
        <f>'Sec 2 G3'!R11</f>
        <v>-</v>
      </c>
      <c r="C9">
        <f>'Sec 2 G3'!Q11</f>
        <v>0</v>
      </c>
    </row>
    <row r="10" spans="1:3" x14ac:dyDescent="0.3">
      <c r="A10" t="str">
        <f>'Sec 2 G3'!A12</f>
        <v>Rui Xuan</v>
      </c>
      <c r="B10" t="str">
        <f>'Sec 2 G3'!R12</f>
        <v>-</v>
      </c>
      <c r="C10">
        <f>'Sec 2 G3'!Q12</f>
        <v>0</v>
      </c>
    </row>
    <row r="11" spans="1:3" x14ac:dyDescent="0.3">
      <c r="A11" t="str">
        <f>'Sec 2 G3'!A13</f>
        <v>Vivian</v>
      </c>
      <c r="B11" t="str">
        <f>'Sec 2 G3'!R13</f>
        <v>-</v>
      </c>
      <c r="C11">
        <f>'Sec 2 G3'!Q13</f>
        <v>0</v>
      </c>
    </row>
    <row r="12" spans="1:3" x14ac:dyDescent="0.3">
      <c r="A12" t="str">
        <f>'Sec 2 G3'!A14</f>
        <v>Arrissa</v>
      </c>
      <c r="B12" t="str">
        <f>'Sec 2 G3'!R14</f>
        <v>-</v>
      </c>
      <c r="C12">
        <f>'Sec 2 G3'!Q14</f>
        <v>0</v>
      </c>
    </row>
    <row r="13" spans="1:3" x14ac:dyDescent="0.3">
      <c r="A13" t="str">
        <f>'Sec 2 G3'!A15</f>
        <v>Zavier</v>
      </c>
      <c r="B13" t="str">
        <f>'Sec 2 G3'!R15</f>
        <v>-</v>
      </c>
      <c r="C13">
        <f>'Sec 2 G3'!Q15</f>
        <v>0</v>
      </c>
    </row>
    <row r="14" spans="1:3" x14ac:dyDescent="0.3">
      <c r="A14" t="str">
        <f>'Sec 2 G3'!A16</f>
        <v>Kah Jun</v>
      </c>
      <c r="B14" t="str">
        <f>'Sec 2 G3'!R16</f>
        <v>-</v>
      </c>
      <c r="C14">
        <f>'Sec 2 G3'!Q16</f>
        <v>0</v>
      </c>
    </row>
    <row r="15" spans="1:3" x14ac:dyDescent="0.3">
      <c r="A15" t="str">
        <f>'Sec 2 G3'!A17</f>
        <v>Charlyn</v>
      </c>
      <c r="B15" t="str">
        <f>'Sec 2 G3'!R17</f>
        <v>-</v>
      </c>
      <c r="C15">
        <f>'Sec 2 G3'!Q17</f>
        <v>0</v>
      </c>
    </row>
    <row r="16" spans="1:3" x14ac:dyDescent="0.3">
      <c r="A16" t="str">
        <f>'Sec 2 G3'!A18</f>
        <v>Fu Ying</v>
      </c>
      <c r="B16" t="str">
        <f>'Sec 2 G3'!R18</f>
        <v>-</v>
      </c>
      <c r="C16">
        <f>'Sec 2 G3'!Q18</f>
        <v>0</v>
      </c>
    </row>
    <row r="17" spans="1:3" x14ac:dyDescent="0.3">
      <c r="A17" t="str">
        <f>'Sec 2 G3'!A19</f>
        <v>Chevelle</v>
      </c>
      <c r="B17" t="str">
        <f>'Sec 2 G3'!R19</f>
        <v>-</v>
      </c>
      <c r="C17">
        <f>'Sec 2 G3'!Q19</f>
        <v>0</v>
      </c>
    </row>
    <row r="18" spans="1:3" x14ac:dyDescent="0.3">
      <c r="A18" t="str">
        <f>'Sec 2 G3'!A20</f>
        <v>Meng Long</v>
      </c>
      <c r="B18" t="str">
        <f>'Sec 2 G3'!R20</f>
        <v>-</v>
      </c>
      <c r="C18">
        <f>'Sec 2 G3'!Q20</f>
        <v>0</v>
      </c>
    </row>
    <row r="19" spans="1:3" x14ac:dyDescent="0.3">
      <c r="A19" t="str">
        <f>'Sec 2 G3'!A21</f>
        <v>Derric</v>
      </c>
      <c r="B19" t="str">
        <f>'Sec 2 G3'!R21</f>
        <v>-</v>
      </c>
      <c r="C19">
        <f>'Sec 2 G3'!Q21</f>
        <v>0</v>
      </c>
    </row>
    <row r="20" spans="1:3" x14ac:dyDescent="0.3">
      <c r="A20" t="str">
        <f>'Sec 2 G3'!A22</f>
        <v>Edward</v>
      </c>
      <c r="B20" t="str">
        <f>'Sec 2 G3'!R22</f>
        <v>-</v>
      </c>
      <c r="C20">
        <f>'Sec 2 G3'!Q22</f>
        <v>0</v>
      </c>
    </row>
    <row r="21" spans="1:3" x14ac:dyDescent="0.3">
      <c r="A21" t="str">
        <f>'Sec 2 G3'!A23</f>
        <v>Elizabeth</v>
      </c>
      <c r="B21" t="str">
        <f>'Sec 2 G3'!R23</f>
        <v>-</v>
      </c>
      <c r="C21">
        <f>'Sec 2 G3'!Q23</f>
        <v>0</v>
      </c>
    </row>
    <row r="22" spans="1:3" x14ac:dyDescent="0.3">
      <c r="A22" t="str">
        <f>'Sec 2 G3'!A24</f>
        <v>Geneve</v>
      </c>
      <c r="B22" t="str">
        <f>'Sec 2 G3'!R24</f>
        <v>-</v>
      </c>
      <c r="C22">
        <f>'Sec 2 G3'!Q24</f>
        <v>0</v>
      </c>
    </row>
    <row r="23" spans="1:3" x14ac:dyDescent="0.3">
      <c r="A23" t="str">
        <f>'Sec 2 G3'!A25</f>
        <v>Hayley</v>
      </c>
      <c r="B23" t="str">
        <f>'Sec 2 G3'!R25</f>
        <v>-</v>
      </c>
      <c r="C23">
        <f>'Sec 2 G3'!Q25</f>
        <v>0</v>
      </c>
    </row>
    <row r="24" spans="1:3" x14ac:dyDescent="0.3">
      <c r="A24" t="str">
        <f>'Sec 2 G3'!A26</f>
        <v>Joyce</v>
      </c>
      <c r="B24" t="str">
        <f>'Sec 2 G3'!R26</f>
        <v>-</v>
      </c>
      <c r="C24">
        <f>'Sec 2 G3'!Q26</f>
        <v>0</v>
      </c>
    </row>
    <row r="25" spans="1:3" x14ac:dyDescent="0.3">
      <c r="A25" t="str">
        <f>'Sec 2 G3'!A27</f>
        <v>Qing Tian</v>
      </c>
      <c r="B25" t="str">
        <f>'Sec 2 G3'!R27</f>
        <v>-</v>
      </c>
      <c r="C25">
        <f>'Sec 2 G3'!Q27</f>
        <v>0</v>
      </c>
    </row>
    <row r="26" spans="1:3" x14ac:dyDescent="0.3">
      <c r="A26" t="str">
        <f>'Sec 2 G3'!A28</f>
        <v>Adrien</v>
      </c>
      <c r="B26" t="str">
        <f>'Sec 2 G3'!R28</f>
        <v>-</v>
      </c>
      <c r="C26">
        <f>'Sec 2 G3'!Q28</f>
        <v>0</v>
      </c>
    </row>
    <row r="27" spans="1:3" x14ac:dyDescent="0.3">
      <c r="A27" t="str">
        <f>'Sec 2 G3'!A29</f>
        <v>Claire</v>
      </c>
      <c r="B27" t="str">
        <f>'Sec 2 G3'!R29</f>
        <v>-</v>
      </c>
      <c r="C27">
        <f>'Sec 2 G3'!Q29</f>
        <v>0</v>
      </c>
    </row>
    <row r="28" spans="1:3" x14ac:dyDescent="0.3">
      <c r="A28" t="str">
        <f>'Sec 2 G3'!A30</f>
        <v>Jayden Lee</v>
      </c>
      <c r="B28" t="str">
        <f>'Sec 2 G3'!R30</f>
        <v>-</v>
      </c>
      <c r="C28">
        <f>'Sec 2 G3'!Q30</f>
        <v>0</v>
      </c>
    </row>
    <row r="29" spans="1:3" x14ac:dyDescent="0.3">
      <c r="A29" t="str">
        <f>'Sec 2 G3'!A31</f>
        <v>Raeanne</v>
      </c>
      <c r="B29" t="str">
        <f>'Sec 2 G3'!R31</f>
        <v>-</v>
      </c>
      <c r="C29">
        <f>'Sec 2 G3'!Q31</f>
        <v>0</v>
      </c>
    </row>
    <row r="30" spans="1:3" x14ac:dyDescent="0.3">
      <c r="A30" t="str">
        <f>'Sec 2 G3'!A32</f>
        <v>Zong Han</v>
      </c>
      <c r="B30" t="str">
        <f>'Sec 2 G3'!R32</f>
        <v>-</v>
      </c>
      <c r="C30">
        <f>'Sec 2 G3'!Q32</f>
        <v>0</v>
      </c>
    </row>
    <row r="31" spans="1:3" x14ac:dyDescent="0.3">
      <c r="A31" t="str">
        <f>'Sec 2 G3'!A33</f>
        <v>Yue Tong</v>
      </c>
      <c r="B31" t="str">
        <f>'Sec 2 G3'!R33</f>
        <v>-</v>
      </c>
      <c r="C31">
        <f>'Sec 2 G3'!Q33</f>
        <v>0</v>
      </c>
    </row>
    <row r="32" spans="1:3" x14ac:dyDescent="0.3">
      <c r="A32" t="str">
        <f>'Sec 2 G3'!A34</f>
        <v>Hao Yi</v>
      </c>
      <c r="B32" t="str">
        <f>'Sec 2 G3'!R34</f>
        <v>-</v>
      </c>
      <c r="C32">
        <f>'Sec 2 G3'!Q34</f>
        <v>0</v>
      </c>
    </row>
    <row r="33" spans="1:3" x14ac:dyDescent="0.3">
      <c r="A33" t="str">
        <f>'Sec 2 G3'!A35</f>
        <v>Keegan</v>
      </c>
      <c r="B33" t="str">
        <f>'Sec 2 G3'!R35</f>
        <v>-</v>
      </c>
      <c r="C33">
        <f>'Sec 2 G3'!Q35</f>
        <v>0</v>
      </c>
    </row>
    <row r="34" spans="1:3" x14ac:dyDescent="0.3">
      <c r="A34" t="str">
        <f>'Sec 2 G3'!A36</f>
        <v>Jing Le</v>
      </c>
      <c r="B34" t="str">
        <f>'Sec 2 G3'!R36</f>
        <v>-</v>
      </c>
      <c r="C34">
        <f>'Sec 2 G3'!Q36</f>
        <v>0</v>
      </c>
    </row>
    <row r="35" spans="1:3" x14ac:dyDescent="0.3">
      <c r="A35" t="str">
        <f>'Sec 2 G3'!A37</f>
        <v>Kai Qi</v>
      </c>
      <c r="B35" t="str">
        <f>'Sec 2 G3'!R37</f>
        <v>-</v>
      </c>
      <c r="C35">
        <f>'Sec 2 G3'!Q37</f>
        <v>0</v>
      </c>
    </row>
    <row r="36" spans="1:3" x14ac:dyDescent="0.3">
      <c r="A36" t="str">
        <f>'Sec 2 G3'!A38</f>
        <v>Don</v>
      </c>
      <c r="B36" t="str">
        <f>'Sec 2 G3'!R38</f>
        <v>-</v>
      </c>
      <c r="C36">
        <f>'Sec 2 G3'!Q38</f>
        <v>0</v>
      </c>
    </row>
    <row r="37" spans="1:3" x14ac:dyDescent="0.3">
      <c r="A37" t="str">
        <f>'Sec 2 G3'!A39</f>
        <v>Alicia</v>
      </c>
      <c r="B37" t="str">
        <f>'Sec 2 G3'!R39</f>
        <v>-</v>
      </c>
      <c r="C37">
        <f>'Sec 2 G3'!Q39</f>
        <v>0</v>
      </c>
    </row>
    <row r="38" spans="1:3" x14ac:dyDescent="0.3">
      <c r="A38" t="str">
        <f>'Sec 2 G3'!A40</f>
        <v>Jacinda</v>
      </c>
      <c r="B38" t="str">
        <f>'Sec 2 G3'!R40</f>
        <v>-</v>
      </c>
      <c r="C38">
        <f>'Sec 2 G3'!Q40</f>
        <v>0</v>
      </c>
    </row>
    <row r="39" spans="1:3" x14ac:dyDescent="0.3">
      <c r="A39" t="str">
        <f>'Sec 2 G3'!A41</f>
        <v>Ashley</v>
      </c>
      <c r="B39" t="str">
        <f>'Sec 2 G3'!R41</f>
        <v>-</v>
      </c>
      <c r="C39">
        <f>'Sec 2 G3'!Q41</f>
        <v>0</v>
      </c>
    </row>
    <row r="40" spans="1:3" x14ac:dyDescent="0.3">
      <c r="A40" t="str">
        <f>'Sec 2 G3'!A42</f>
        <v>Taven</v>
      </c>
      <c r="B40" t="str">
        <f>'Sec 2 G3'!R42</f>
        <v>-</v>
      </c>
      <c r="C40">
        <f>'Sec 2 G3'!Q42</f>
        <v>0</v>
      </c>
    </row>
    <row r="41" spans="1:3" x14ac:dyDescent="0.3">
      <c r="A41" t="str">
        <f>'Sec 2 G3'!A43</f>
        <v>Sur Lynn</v>
      </c>
      <c r="B41" t="str">
        <f>'Sec 2 G3'!R43</f>
        <v>-</v>
      </c>
      <c r="C41">
        <f>'Sec 2 G3'!Q43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273AA-CE73-4483-90A1-E6198C6E48ED}">
  <dimension ref="A1:AM37"/>
  <sheetViews>
    <sheetView topLeftCell="A23" workbookViewId="0">
      <pane xSplit="1" topLeftCell="B1" activePane="topRight" state="frozen"/>
      <selection activeCell="R35" sqref="R35"/>
      <selection pane="topRight" activeCell="I48" sqref="I48"/>
    </sheetView>
  </sheetViews>
  <sheetFormatPr defaultRowHeight="14.4" x14ac:dyDescent="0.3"/>
  <cols>
    <col min="1" max="1" width="11" bestFit="1" customWidth="1"/>
    <col min="2" max="2" width="10.6640625" style="3" bestFit="1" customWidth="1"/>
    <col min="3" max="3" width="6.88671875" style="4" bestFit="1" customWidth="1"/>
    <col min="4" max="4" width="15.109375" style="4" bestFit="1" customWidth="1"/>
    <col min="5" max="5" width="11.77734375" style="4" bestFit="1" customWidth="1"/>
    <col min="6" max="6" width="14.33203125" style="4" bestFit="1" customWidth="1"/>
    <col min="7" max="7" width="12" style="4" bestFit="1" customWidth="1"/>
    <col min="8" max="8" width="10.109375" style="4" bestFit="1" customWidth="1"/>
    <col min="9" max="9" width="15.88671875" style="5" bestFit="1" customWidth="1"/>
    <col min="10" max="10" width="16.6640625" style="6" bestFit="1" customWidth="1"/>
    <col min="11" max="11" width="15.88671875" style="6" bestFit="1" customWidth="1"/>
    <col min="12" max="12" width="10.5546875" style="6" bestFit="1" customWidth="1"/>
    <col min="13" max="13" width="9.44140625" style="7" bestFit="1" customWidth="1"/>
    <col min="14" max="14" width="14.21875" style="8" bestFit="1" customWidth="1"/>
    <col min="15" max="15" width="19.21875" style="8" bestFit="1" customWidth="1"/>
    <col min="16" max="16" width="11.21875" style="8" bestFit="1" customWidth="1"/>
    <col min="17" max="17" width="9.6640625" style="2" bestFit="1" customWidth="1"/>
    <col min="18" max="18" width="25.44140625" style="1" customWidth="1"/>
    <col min="19" max="19" width="8.88671875" style="9"/>
    <col min="20" max="37" width="8.88671875" style="10"/>
    <col min="38" max="38" width="8.88671875" style="11"/>
  </cols>
  <sheetData>
    <row r="1" spans="1:39" x14ac:dyDescent="0.3">
      <c r="A1" t="s">
        <v>1</v>
      </c>
      <c r="H1" s="23"/>
      <c r="I1" s="23"/>
      <c r="J1" s="23"/>
      <c r="K1" s="23"/>
      <c r="L1" s="23"/>
      <c r="M1" s="23"/>
    </row>
    <row r="2" spans="1:39" x14ac:dyDescent="0.3">
      <c r="B2" s="24" t="s">
        <v>13</v>
      </c>
      <c r="C2" s="25"/>
      <c r="D2" s="25"/>
      <c r="E2" s="25"/>
      <c r="F2" s="25"/>
      <c r="G2" s="26"/>
      <c r="H2" s="29" t="s">
        <v>14</v>
      </c>
      <c r="I2" s="30"/>
      <c r="J2" s="30"/>
      <c r="K2" s="30"/>
      <c r="L2" s="30"/>
      <c r="M2" s="31"/>
      <c r="N2" s="32" t="s">
        <v>19</v>
      </c>
      <c r="O2" s="33"/>
      <c r="P2" s="34"/>
      <c r="S2" s="27" t="s">
        <v>21</v>
      </c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</row>
    <row r="3" spans="1:39" ht="15" thickBot="1" x14ac:dyDescent="0.35">
      <c r="A3" s="17" t="s">
        <v>2</v>
      </c>
      <c r="B3" s="18" t="s">
        <v>3</v>
      </c>
      <c r="C3" s="18" t="s">
        <v>4</v>
      </c>
      <c r="D3" s="18" t="s">
        <v>24</v>
      </c>
      <c r="E3" s="18" t="s">
        <v>5</v>
      </c>
      <c r="F3" s="18" t="s">
        <v>6</v>
      </c>
      <c r="G3" s="18" t="s">
        <v>12</v>
      </c>
      <c r="H3" s="19" t="s">
        <v>7</v>
      </c>
      <c r="I3" s="19" t="s">
        <v>8</v>
      </c>
      <c r="J3" s="19" t="s">
        <v>11</v>
      </c>
      <c r="K3" s="19" t="s">
        <v>10</v>
      </c>
      <c r="L3" s="19" t="s">
        <v>9</v>
      </c>
      <c r="M3" s="19" t="s">
        <v>15</v>
      </c>
      <c r="N3" s="20" t="s">
        <v>16</v>
      </c>
      <c r="O3" s="20" t="s">
        <v>17</v>
      </c>
      <c r="P3" s="20" t="s">
        <v>18</v>
      </c>
      <c r="Q3" s="17" t="s">
        <v>20</v>
      </c>
      <c r="R3" s="21" t="s">
        <v>0</v>
      </c>
      <c r="S3" s="22">
        <v>1</v>
      </c>
      <c r="T3" s="22">
        <v>2</v>
      </c>
      <c r="U3" s="22">
        <v>3</v>
      </c>
      <c r="V3" s="22">
        <v>4</v>
      </c>
      <c r="W3" s="22">
        <v>5</v>
      </c>
      <c r="X3" s="22">
        <v>6</v>
      </c>
      <c r="Y3" s="22">
        <v>7</v>
      </c>
      <c r="Z3" s="22">
        <v>8</v>
      </c>
      <c r="AA3" s="22">
        <v>9</v>
      </c>
      <c r="AB3" s="22">
        <v>10</v>
      </c>
      <c r="AC3" s="22">
        <v>11</v>
      </c>
      <c r="AD3" s="22">
        <v>12</v>
      </c>
      <c r="AE3" s="22">
        <v>13</v>
      </c>
      <c r="AF3" s="22">
        <v>14</v>
      </c>
      <c r="AG3" s="22">
        <v>15</v>
      </c>
      <c r="AH3" s="22">
        <v>16</v>
      </c>
      <c r="AI3" s="22">
        <v>17</v>
      </c>
      <c r="AJ3" s="22">
        <v>18</v>
      </c>
      <c r="AK3" s="22">
        <v>19</v>
      </c>
      <c r="AL3" s="22">
        <v>20</v>
      </c>
      <c r="AM3" t="s">
        <v>25</v>
      </c>
    </row>
    <row r="4" spans="1:39" ht="15" thickBot="1" x14ac:dyDescent="0.35">
      <c r="A4" s="45" t="s">
        <v>101</v>
      </c>
      <c r="B4" s="12"/>
      <c r="C4" s="12"/>
      <c r="D4" s="12"/>
      <c r="E4" s="12"/>
      <c r="F4" s="12"/>
      <c r="G4" s="12"/>
      <c r="H4" s="13"/>
      <c r="I4" s="13"/>
      <c r="J4" s="13">
        <f>IF(COUNTIF(S4:AL4,"&gt;=3")&gt;=3,1,0)</f>
        <v>0</v>
      </c>
      <c r="K4" s="13">
        <f t="array" ref="K4">IF(MAX(FREQUENCY(IF(S4:AL4&gt;0,COLUMN(S4:AL4)),IF(S4:AL4&lt;=0,COLUMN(S4:AL4))))&gt;4,1,0)</f>
        <v>0</v>
      </c>
      <c r="L4" s="13"/>
      <c r="M4" s="13"/>
      <c r="N4" s="14"/>
      <c r="O4" s="14"/>
      <c r="P4" s="14"/>
      <c r="Q4" s="15">
        <f>SUM(B4:G4)+3*SUM(H4:M4)+5*SUM(N4:P4)+SUM(S4:AM4)</f>
        <v>0</v>
      </c>
      <c r="R4" s="15" t="str">
        <f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</row>
    <row r="5" spans="1:39" ht="15" thickBot="1" x14ac:dyDescent="0.35">
      <c r="A5" s="46" t="s">
        <v>102</v>
      </c>
      <c r="B5" s="12"/>
      <c r="C5" s="12"/>
      <c r="D5" s="12"/>
      <c r="E5" s="12"/>
      <c r="F5" s="12"/>
      <c r="G5" s="12"/>
      <c r="H5" s="13"/>
      <c r="I5" s="13"/>
      <c r="J5" s="13">
        <f t="shared" ref="J5:J37" si="0">IF(COUNTIF(S5:AL5,"&gt;=3")&gt;=3,1,0)</f>
        <v>0</v>
      </c>
      <c r="K5" s="13">
        <f t="array" ref="K5">IF(MAX(FREQUENCY(IF(S5:AL5&gt;0,COLUMN(S5:AL5)),IF(S5:AL5&lt;=0,COLUMN(S5:AL5))))&gt;4,1,0)</f>
        <v>0</v>
      </c>
      <c r="L5" s="13"/>
      <c r="M5" s="13"/>
      <c r="N5" s="14"/>
      <c r="O5" s="14"/>
      <c r="P5" s="14"/>
      <c r="Q5" s="15">
        <f t="shared" ref="Q5:Q37" si="1">SUM(B5:G5)+3*SUM(H5:M5)+5*SUM(N5:P5)+SUM(S5:AM5)</f>
        <v>0</v>
      </c>
      <c r="R5" s="15" t="str">
        <f t="shared" ref="R5:R37" si="2">CONCATENATE("-",IF(B5=1,$B$3&amp;", ",""),IF(C5=1,$C$3&amp;", ",""),IF(D5=1,$D$3&amp;", ",""),IF(E5=1,$E$3&amp;", ",""),IF(F5=1,$F$3&amp;", ",""),IF(G5=1,$G$3&amp;", ",""),IF(H5=1,$H$3&amp;", ",""),IF(I5=1,$I$3&amp;", ",""),IF(J5=1,$J$3&amp;", ",""),IF(K5=1,$K$3&amp;", ",""),IF(L5=1,$L$3&amp;", ",""),IF(M5=1,$M$3&amp;", ",""),IF(N5=1,$N$3&amp;", ",""),IF(O5=1,$O$3&amp;", ",""),IF(P5=1,$P$3&amp;", ",""))</f>
        <v>-</v>
      </c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</row>
    <row r="6" spans="1:39" ht="15" thickBot="1" x14ac:dyDescent="0.35">
      <c r="A6" s="46" t="s">
        <v>103</v>
      </c>
      <c r="B6" s="12"/>
      <c r="C6" s="12"/>
      <c r="D6" s="12"/>
      <c r="E6" s="12"/>
      <c r="F6" s="12"/>
      <c r="G6" s="12"/>
      <c r="H6" s="13"/>
      <c r="I6" s="13"/>
      <c r="J6" s="13">
        <f t="shared" si="0"/>
        <v>0</v>
      </c>
      <c r="K6" s="13">
        <f t="array" ref="K6">IF(MAX(FREQUENCY(IF(S6:AL6&gt;0,COLUMN(S6:AL6)),IF(S6:AL6&lt;=0,COLUMN(S6:AL6))))&gt;4,1,0)</f>
        <v>0</v>
      </c>
      <c r="L6" s="13"/>
      <c r="M6" s="13"/>
      <c r="N6" s="14"/>
      <c r="O6" s="14"/>
      <c r="P6" s="14"/>
      <c r="Q6" s="15">
        <f t="shared" si="1"/>
        <v>0</v>
      </c>
      <c r="R6" s="15" t="str">
        <f t="shared" si="2"/>
        <v>-</v>
      </c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</row>
    <row r="7" spans="1:39" ht="15" thickBot="1" x14ac:dyDescent="0.35">
      <c r="A7" s="46" t="s">
        <v>104</v>
      </c>
      <c r="B7" s="12"/>
      <c r="C7" s="12"/>
      <c r="D7" s="12"/>
      <c r="E7" s="12"/>
      <c r="F7" s="12"/>
      <c r="G7" s="12"/>
      <c r="H7" s="13"/>
      <c r="I7" s="13"/>
      <c r="J7" s="13">
        <f t="shared" si="0"/>
        <v>0</v>
      </c>
      <c r="K7" s="13">
        <f t="array" ref="K7">IF(MAX(FREQUENCY(IF(S7:AL7&gt;0,COLUMN(S7:AL7)),IF(S7:AL7&lt;=0,COLUMN(S7:AL7))))&gt;4,1,0)</f>
        <v>0</v>
      </c>
      <c r="L7" s="13"/>
      <c r="M7" s="13"/>
      <c r="N7" s="14"/>
      <c r="O7" s="14"/>
      <c r="P7" s="14"/>
      <c r="Q7" s="15">
        <f t="shared" si="1"/>
        <v>0</v>
      </c>
      <c r="R7" s="15" t="str">
        <f t="shared" si="2"/>
        <v>-</v>
      </c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</row>
    <row r="8" spans="1:39" ht="15" thickBot="1" x14ac:dyDescent="0.35">
      <c r="A8" s="46" t="s">
        <v>105</v>
      </c>
      <c r="B8" s="12"/>
      <c r="C8" s="12"/>
      <c r="D8" s="12"/>
      <c r="E8" s="12"/>
      <c r="F8" s="12"/>
      <c r="G8" s="12"/>
      <c r="H8" s="13"/>
      <c r="I8" s="13"/>
      <c r="J8" s="13">
        <f t="shared" si="0"/>
        <v>0</v>
      </c>
      <c r="K8" s="13">
        <f t="array" ref="K8">IF(MAX(FREQUENCY(IF(S8:AL8&gt;0,COLUMN(S8:AL8)),IF(S8:AL8&lt;=0,COLUMN(S8:AL8))))&gt;4,1,0)</f>
        <v>0</v>
      </c>
      <c r="L8" s="13"/>
      <c r="M8" s="13"/>
      <c r="N8" s="14"/>
      <c r="O8" s="14"/>
      <c r="P8" s="14"/>
      <c r="Q8" s="15">
        <f t="shared" si="1"/>
        <v>0</v>
      </c>
      <c r="R8" s="15" t="str">
        <f t="shared" si="2"/>
        <v>-</v>
      </c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</row>
    <row r="9" spans="1:39" ht="15" thickBot="1" x14ac:dyDescent="0.35">
      <c r="A9" s="46" t="s">
        <v>106</v>
      </c>
      <c r="B9" s="12"/>
      <c r="C9" s="12"/>
      <c r="D9" s="12"/>
      <c r="E9" s="12"/>
      <c r="F9" s="12"/>
      <c r="G9" s="12"/>
      <c r="H9" s="13"/>
      <c r="I9" s="13"/>
      <c r="J9" s="13">
        <f t="shared" si="0"/>
        <v>0</v>
      </c>
      <c r="K9" s="13">
        <f t="array" ref="K9">IF(MAX(FREQUENCY(IF(S9:AL9&gt;0,COLUMN(S9:AL9)),IF(S9:AL9&lt;=0,COLUMN(S9:AL9))))&gt;4,1,0)</f>
        <v>0</v>
      </c>
      <c r="L9" s="13"/>
      <c r="M9" s="13"/>
      <c r="N9" s="14"/>
      <c r="O9" s="14"/>
      <c r="P9" s="14"/>
      <c r="Q9" s="15">
        <f t="shared" si="1"/>
        <v>0</v>
      </c>
      <c r="R9" s="15" t="str">
        <f t="shared" si="2"/>
        <v>-</v>
      </c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</row>
    <row r="10" spans="1:39" ht="15" thickBot="1" x14ac:dyDescent="0.35">
      <c r="A10" s="46" t="s">
        <v>107</v>
      </c>
      <c r="B10" s="12"/>
      <c r="C10" s="12"/>
      <c r="D10" s="12"/>
      <c r="E10" s="12"/>
      <c r="F10" s="12"/>
      <c r="G10" s="12"/>
      <c r="H10" s="13"/>
      <c r="I10" s="13"/>
      <c r="J10" s="13">
        <f t="shared" si="0"/>
        <v>0</v>
      </c>
      <c r="K10" s="13">
        <f t="array" ref="K10">IF(MAX(FREQUENCY(IF(S10:AL10&gt;0,COLUMN(S10:AL10)),IF(S10:AL10&lt;=0,COLUMN(S10:AL10))))&gt;4,1,0)</f>
        <v>0</v>
      </c>
      <c r="L10" s="13"/>
      <c r="M10" s="13"/>
      <c r="N10" s="14"/>
      <c r="O10" s="14"/>
      <c r="P10" s="14"/>
      <c r="Q10" s="15">
        <f t="shared" si="1"/>
        <v>0</v>
      </c>
      <c r="R10" s="15" t="str">
        <f t="shared" si="2"/>
        <v>-</v>
      </c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</row>
    <row r="11" spans="1:39" ht="15" thickBot="1" x14ac:dyDescent="0.35">
      <c r="A11" s="46" t="s">
        <v>108</v>
      </c>
      <c r="B11" s="12"/>
      <c r="C11" s="12"/>
      <c r="D11" s="12"/>
      <c r="E11" s="12"/>
      <c r="F11" s="12"/>
      <c r="G11" s="12"/>
      <c r="H11" s="13"/>
      <c r="I11" s="13"/>
      <c r="J11" s="13">
        <f t="shared" si="0"/>
        <v>0</v>
      </c>
      <c r="K11" s="13">
        <f t="array" ref="K11">IF(MAX(FREQUENCY(IF(S11:AL11&gt;0,COLUMN(S11:AL11)),IF(S11:AL11&lt;=0,COLUMN(S11:AL11))))&gt;4,1,0)</f>
        <v>0</v>
      </c>
      <c r="L11" s="13"/>
      <c r="M11" s="13"/>
      <c r="N11" s="14"/>
      <c r="O11" s="14"/>
      <c r="P11" s="14"/>
      <c r="Q11" s="15">
        <f t="shared" si="1"/>
        <v>0</v>
      </c>
      <c r="R11" s="15" t="str">
        <f t="shared" si="2"/>
        <v>-</v>
      </c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</row>
    <row r="12" spans="1:39" ht="15" thickBot="1" x14ac:dyDescent="0.35">
      <c r="A12" s="46" t="s">
        <v>109</v>
      </c>
      <c r="B12" s="12"/>
      <c r="C12" s="12"/>
      <c r="D12" s="12"/>
      <c r="E12" s="12"/>
      <c r="F12" s="12"/>
      <c r="G12" s="12"/>
      <c r="H12" s="13"/>
      <c r="I12" s="13"/>
      <c r="J12" s="13">
        <f t="shared" si="0"/>
        <v>0</v>
      </c>
      <c r="K12" s="13">
        <f t="array" ref="K12">IF(MAX(FREQUENCY(IF(S12:AL12&gt;0,COLUMN(S12:AL12)),IF(S12:AL12&lt;=0,COLUMN(S12:AL12))))&gt;4,1,0)</f>
        <v>0</v>
      </c>
      <c r="L12" s="13"/>
      <c r="M12" s="13"/>
      <c r="N12" s="14"/>
      <c r="O12" s="14"/>
      <c r="P12" s="14"/>
      <c r="Q12" s="15">
        <f t="shared" si="1"/>
        <v>0</v>
      </c>
      <c r="R12" s="15" t="str">
        <f t="shared" si="2"/>
        <v>-</v>
      </c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</row>
    <row r="13" spans="1:39" ht="15" thickBot="1" x14ac:dyDescent="0.35">
      <c r="A13" s="46" t="s">
        <v>110</v>
      </c>
      <c r="B13" s="12"/>
      <c r="C13" s="12"/>
      <c r="D13" s="12"/>
      <c r="E13" s="12"/>
      <c r="F13" s="12"/>
      <c r="G13" s="12"/>
      <c r="H13" s="13"/>
      <c r="I13" s="13"/>
      <c r="J13" s="13">
        <f t="shared" si="0"/>
        <v>0</v>
      </c>
      <c r="K13" s="13">
        <f t="array" ref="K13">IF(MAX(FREQUENCY(IF(S13:AL13&gt;0,COLUMN(S13:AL13)),IF(S13:AL13&lt;=0,COLUMN(S13:AL13))))&gt;4,1,0)</f>
        <v>0</v>
      </c>
      <c r="L13" s="13"/>
      <c r="M13" s="13"/>
      <c r="N13" s="14"/>
      <c r="O13" s="14"/>
      <c r="P13" s="14"/>
      <c r="Q13" s="15">
        <f t="shared" si="1"/>
        <v>0</v>
      </c>
      <c r="R13" s="15" t="str">
        <f t="shared" si="2"/>
        <v>-</v>
      </c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</row>
    <row r="14" spans="1:39" ht="15" thickBot="1" x14ac:dyDescent="0.35">
      <c r="A14" s="46" t="s">
        <v>111</v>
      </c>
      <c r="B14" s="12"/>
      <c r="C14" s="12"/>
      <c r="D14" s="12"/>
      <c r="E14" s="12"/>
      <c r="F14" s="12"/>
      <c r="G14" s="12"/>
      <c r="H14" s="13"/>
      <c r="I14" s="13"/>
      <c r="J14" s="13">
        <f t="shared" si="0"/>
        <v>0</v>
      </c>
      <c r="K14" s="13">
        <f t="array" ref="K14">IF(MAX(FREQUENCY(IF(S14:AL14&gt;0,COLUMN(S14:AL14)),IF(S14:AL14&lt;=0,COLUMN(S14:AL14))))&gt;4,1,0)</f>
        <v>0</v>
      </c>
      <c r="L14" s="13"/>
      <c r="M14" s="13"/>
      <c r="N14" s="14"/>
      <c r="O14" s="14"/>
      <c r="P14" s="14"/>
      <c r="Q14" s="15">
        <f t="shared" si="1"/>
        <v>0</v>
      </c>
      <c r="R14" s="15" t="str">
        <f t="shared" si="2"/>
        <v>-</v>
      </c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</row>
    <row r="15" spans="1:39" ht="15" thickBot="1" x14ac:dyDescent="0.35">
      <c r="A15" s="47" t="s">
        <v>112</v>
      </c>
      <c r="B15" s="12"/>
      <c r="C15" s="12"/>
      <c r="D15" s="12"/>
      <c r="E15" s="12"/>
      <c r="F15" s="12"/>
      <c r="G15" s="12"/>
      <c r="H15" s="13"/>
      <c r="I15" s="13"/>
      <c r="J15" s="13">
        <f t="shared" si="0"/>
        <v>0</v>
      </c>
      <c r="K15" s="13">
        <f t="array" ref="K15">IF(MAX(FREQUENCY(IF(S15:AL15&gt;0,COLUMN(S15:AL15)),IF(S15:AL15&lt;=0,COLUMN(S15:AL15))))&gt;4,1,0)</f>
        <v>0</v>
      </c>
      <c r="L15" s="13"/>
      <c r="M15" s="13"/>
      <c r="N15" s="14"/>
      <c r="O15" s="14"/>
      <c r="P15" s="14"/>
      <c r="Q15" s="15">
        <f t="shared" si="1"/>
        <v>0</v>
      </c>
      <c r="R15" s="15" t="str">
        <f t="shared" si="2"/>
        <v>-</v>
      </c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</row>
    <row r="16" spans="1:39" ht="15" thickBot="1" x14ac:dyDescent="0.35">
      <c r="A16" s="46" t="s">
        <v>113</v>
      </c>
      <c r="B16" s="12"/>
      <c r="C16" s="12"/>
      <c r="D16" s="12"/>
      <c r="E16" s="12"/>
      <c r="F16" s="12"/>
      <c r="G16" s="12"/>
      <c r="H16" s="13"/>
      <c r="I16" s="13"/>
      <c r="J16" s="13">
        <f t="shared" si="0"/>
        <v>0</v>
      </c>
      <c r="K16" s="13">
        <f t="array" ref="K16">IF(MAX(FREQUENCY(IF(S16:AL16&gt;0,COLUMN(S16:AL16)),IF(S16:AL16&lt;=0,COLUMN(S16:AL16))))&gt;4,1,0)</f>
        <v>0</v>
      </c>
      <c r="L16" s="13"/>
      <c r="M16" s="13"/>
      <c r="N16" s="14"/>
      <c r="O16" s="14"/>
      <c r="P16" s="14"/>
      <c r="Q16" s="15">
        <f t="shared" si="1"/>
        <v>0</v>
      </c>
      <c r="R16" s="15" t="str">
        <f t="shared" si="2"/>
        <v>-</v>
      </c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</row>
    <row r="17" spans="1:38" ht="15" thickBot="1" x14ac:dyDescent="0.35">
      <c r="A17" s="46" t="s">
        <v>114</v>
      </c>
      <c r="B17" s="12"/>
      <c r="C17" s="12"/>
      <c r="D17" s="12"/>
      <c r="E17" s="12"/>
      <c r="F17" s="12"/>
      <c r="G17" s="12"/>
      <c r="H17" s="13"/>
      <c r="I17" s="13"/>
      <c r="J17" s="13">
        <f t="shared" si="0"/>
        <v>0</v>
      </c>
      <c r="K17" s="13">
        <f t="array" ref="K17">IF(MAX(FREQUENCY(IF(S17:AL17&gt;0,COLUMN(S17:AL17)),IF(S17:AL17&lt;=0,COLUMN(S17:AL17))))&gt;4,1,0)</f>
        <v>0</v>
      </c>
      <c r="L17" s="13"/>
      <c r="M17" s="13"/>
      <c r="N17" s="14"/>
      <c r="O17" s="14"/>
      <c r="P17" s="14"/>
      <c r="Q17" s="15">
        <f t="shared" si="1"/>
        <v>0</v>
      </c>
      <c r="R17" s="15" t="str">
        <f t="shared" si="2"/>
        <v>-</v>
      </c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</row>
    <row r="18" spans="1:38" ht="15" thickBot="1" x14ac:dyDescent="0.35">
      <c r="A18" s="46" t="s">
        <v>115</v>
      </c>
      <c r="B18" s="12"/>
      <c r="C18" s="12"/>
      <c r="D18" s="12"/>
      <c r="E18" s="12"/>
      <c r="F18" s="12"/>
      <c r="G18" s="12"/>
      <c r="H18" s="13"/>
      <c r="I18" s="13"/>
      <c r="J18" s="13">
        <f t="shared" si="0"/>
        <v>0</v>
      </c>
      <c r="K18" s="13">
        <f t="array" ref="K18">IF(MAX(FREQUENCY(IF(S18:AL18&gt;0,COLUMN(S18:AL18)),IF(S18:AL18&lt;=0,COLUMN(S18:AL18))))&gt;4,1,0)</f>
        <v>0</v>
      </c>
      <c r="L18" s="13"/>
      <c r="M18" s="13"/>
      <c r="N18" s="14"/>
      <c r="O18" s="14"/>
      <c r="P18" s="14"/>
      <c r="Q18" s="15">
        <f t="shared" si="1"/>
        <v>0</v>
      </c>
      <c r="R18" s="15" t="str">
        <f t="shared" si="2"/>
        <v>-</v>
      </c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</row>
    <row r="19" spans="1:38" ht="15" thickBot="1" x14ac:dyDescent="0.35">
      <c r="A19" s="46" t="s">
        <v>116</v>
      </c>
      <c r="B19" s="12"/>
      <c r="C19" s="12"/>
      <c r="D19" s="12"/>
      <c r="E19" s="12"/>
      <c r="F19" s="12"/>
      <c r="G19" s="12"/>
      <c r="H19" s="13"/>
      <c r="I19" s="13"/>
      <c r="J19" s="13">
        <f t="shared" si="0"/>
        <v>0</v>
      </c>
      <c r="K19" s="13">
        <f t="array" ref="K19">IF(MAX(FREQUENCY(IF(S19:AL19&gt;0,COLUMN(S19:AL19)),IF(S19:AL19&lt;=0,COLUMN(S19:AL19))))&gt;4,1,0)</f>
        <v>0</v>
      </c>
      <c r="L19" s="13"/>
      <c r="M19" s="13"/>
      <c r="N19" s="14"/>
      <c r="O19" s="14"/>
      <c r="P19" s="14"/>
      <c r="Q19" s="15">
        <f t="shared" si="1"/>
        <v>0</v>
      </c>
      <c r="R19" s="15" t="str">
        <f t="shared" si="2"/>
        <v>-</v>
      </c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</row>
    <row r="20" spans="1:38" ht="15" thickBot="1" x14ac:dyDescent="0.35">
      <c r="A20" s="46" t="s">
        <v>117</v>
      </c>
      <c r="B20" s="12"/>
      <c r="C20" s="12"/>
      <c r="D20" s="12"/>
      <c r="E20" s="12"/>
      <c r="F20" s="12"/>
      <c r="G20" s="12"/>
      <c r="H20" s="13"/>
      <c r="I20" s="13"/>
      <c r="J20" s="13">
        <f t="shared" si="0"/>
        <v>0</v>
      </c>
      <c r="K20" s="13">
        <f t="array" ref="K20">IF(MAX(FREQUENCY(IF(S20:AL20&gt;0,COLUMN(S20:AL20)),IF(S20:AL20&lt;=0,COLUMN(S20:AL20))))&gt;4,1,0)</f>
        <v>0</v>
      </c>
      <c r="L20" s="13"/>
      <c r="M20" s="13"/>
      <c r="N20" s="14"/>
      <c r="O20" s="14"/>
      <c r="P20" s="14"/>
      <c r="Q20" s="15">
        <f t="shared" si="1"/>
        <v>0</v>
      </c>
      <c r="R20" s="15" t="str">
        <f t="shared" si="2"/>
        <v>-</v>
      </c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</row>
    <row r="21" spans="1:38" ht="15" thickBot="1" x14ac:dyDescent="0.35">
      <c r="A21" s="46" t="s">
        <v>118</v>
      </c>
      <c r="B21" s="12"/>
      <c r="C21" s="12"/>
      <c r="D21" s="12"/>
      <c r="E21" s="12"/>
      <c r="F21" s="12"/>
      <c r="G21" s="12"/>
      <c r="H21" s="13"/>
      <c r="I21" s="13"/>
      <c r="J21" s="13">
        <f t="shared" si="0"/>
        <v>0</v>
      </c>
      <c r="K21" s="13">
        <f t="array" ref="K21">IF(MAX(FREQUENCY(IF(S21:AL21&gt;0,COLUMN(S21:AL21)),IF(S21:AL21&lt;=0,COLUMN(S21:AL21))))&gt;4,1,0)</f>
        <v>0</v>
      </c>
      <c r="L21" s="13"/>
      <c r="M21" s="13"/>
      <c r="N21" s="14"/>
      <c r="O21" s="14"/>
      <c r="P21" s="14"/>
      <c r="Q21" s="15">
        <f t="shared" si="1"/>
        <v>0</v>
      </c>
      <c r="R21" s="15" t="str">
        <f t="shared" si="2"/>
        <v>-</v>
      </c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</row>
    <row r="22" spans="1:38" ht="15" thickBot="1" x14ac:dyDescent="0.35">
      <c r="A22" s="46" t="s">
        <v>119</v>
      </c>
      <c r="B22" s="12"/>
      <c r="C22" s="12"/>
      <c r="D22" s="12"/>
      <c r="E22" s="12"/>
      <c r="F22" s="12"/>
      <c r="G22" s="12"/>
      <c r="H22" s="13"/>
      <c r="I22" s="13"/>
      <c r="J22" s="13">
        <f t="shared" si="0"/>
        <v>0</v>
      </c>
      <c r="K22" s="13">
        <f t="array" ref="K22">IF(MAX(FREQUENCY(IF(S22:AL22&gt;0,COLUMN(S22:AL22)),IF(S22:AL22&lt;=0,COLUMN(S22:AL22))))&gt;4,1,0)</f>
        <v>0</v>
      </c>
      <c r="L22" s="13"/>
      <c r="M22" s="13"/>
      <c r="N22" s="14"/>
      <c r="O22" s="14"/>
      <c r="P22" s="14"/>
      <c r="Q22" s="15">
        <f t="shared" si="1"/>
        <v>0</v>
      </c>
      <c r="R22" s="15" t="str">
        <f t="shared" si="2"/>
        <v>-</v>
      </c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</row>
    <row r="23" spans="1:38" ht="15" thickBot="1" x14ac:dyDescent="0.35">
      <c r="A23" s="46" t="s">
        <v>120</v>
      </c>
      <c r="B23" s="12"/>
      <c r="C23" s="12"/>
      <c r="D23" s="12"/>
      <c r="E23" s="12"/>
      <c r="F23" s="12"/>
      <c r="G23" s="12"/>
      <c r="H23" s="13"/>
      <c r="I23" s="13"/>
      <c r="J23" s="13">
        <f t="shared" si="0"/>
        <v>0</v>
      </c>
      <c r="K23" s="13">
        <f t="array" ref="K23">IF(MAX(FREQUENCY(IF(S23:AL23&gt;0,COLUMN(S23:AL23)),IF(S23:AL23&lt;=0,COLUMN(S23:AL23))))&gt;4,1,0)</f>
        <v>0</v>
      </c>
      <c r="L23" s="13"/>
      <c r="M23" s="13"/>
      <c r="N23" s="14"/>
      <c r="O23" s="14"/>
      <c r="P23" s="14"/>
      <c r="Q23" s="15">
        <f t="shared" si="1"/>
        <v>0</v>
      </c>
      <c r="R23" s="15" t="str">
        <f t="shared" si="2"/>
        <v>-</v>
      </c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</row>
    <row r="24" spans="1:38" ht="15" thickBot="1" x14ac:dyDescent="0.35">
      <c r="A24" s="46" t="s">
        <v>121</v>
      </c>
      <c r="B24" s="12"/>
      <c r="C24" s="12"/>
      <c r="D24" s="12"/>
      <c r="E24" s="12"/>
      <c r="F24" s="12"/>
      <c r="G24" s="12"/>
      <c r="H24" s="13"/>
      <c r="I24" s="13"/>
      <c r="J24" s="13">
        <f t="shared" si="0"/>
        <v>0</v>
      </c>
      <c r="K24" s="13">
        <f t="array" ref="K24">IF(MAX(FREQUENCY(IF(S24:AL24&gt;0,COLUMN(S24:AL24)),IF(S24:AL24&lt;=0,COLUMN(S24:AL24))))&gt;4,1,0)</f>
        <v>0</v>
      </c>
      <c r="L24" s="13"/>
      <c r="M24" s="13"/>
      <c r="N24" s="14"/>
      <c r="O24" s="14"/>
      <c r="P24" s="14"/>
      <c r="Q24" s="15">
        <f t="shared" si="1"/>
        <v>0</v>
      </c>
      <c r="R24" s="15" t="str">
        <f t="shared" si="2"/>
        <v>-</v>
      </c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</row>
    <row r="25" spans="1:38" ht="15" thickBot="1" x14ac:dyDescent="0.35">
      <c r="A25" s="46" t="s">
        <v>122</v>
      </c>
      <c r="B25" s="12"/>
      <c r="C25" s="12"/>
      <c r="D25" s="12"/>
      <c r="E25" s="12"/>
      <c r="F25" s="12"/>
      <c r="G25" s="12"/>
      <c r="H25" s="13"/>
      <c r="I25" s="13"/>
      <c r="J25" s="13">
        <f t="shared" si="0"/>
        <v>0</v>
      </c>
      <c r="K25" s="13">
        <f t="array" ref="K25">IF(MAX(FREQUENCY(IF(S25:AL25&gt;0,COLUMN(S25:AL25)),IF(S25:AL25&lt;=0,COLUMN(S25:AL25))))&gt;4,1,0)</f>
        <v>0</v>
      </c>
      <c r="L25" s="13"/>
      <c r="M25" s="13"/>
      <c r="N25" s="14"/>
      <c r="O25" s="14"/>
      <c r="P25" s="14"/>
      <c r="Q25" s="15">
        <f t="shared" si="1"/>
        <v>0</v>
      </c>
      <c r="R25" s="15" t="str">
        <f t="shared" si="2"/>
        <v>-</v>
      </c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</row>
    <row r="26" spans="1:38" ht="15" thickBot="1" x14ac:dyDescent="0.35">
      <c r="A26" s="46" t="s">
        <v>123</v>
      </c>
      <c r="B26" s="12"/>
      <c r="C26" s="12"/>
      <c r="D26" s="12"/>
      <c r="E26" s="12"/>
      <c r="F26" s="12"/>
      <c r="G26" s="12"/>
      <c r="H26" s="13"/>
      <c r="I26" s="13"/>
      <c r="J26" s="13">
        <f t="shared" si="0"/>
        <v>0</v>
      </c>
      <c r="K26" s="13">
        <f t="array" ref="K26">IF(MAX(FREQUENCY(IF(S26:AL26&gt;0,COLUMN(S26:AL26)),IF(S26:AL26&lt;=0,COLUMN(S26:AL26))))&gt;4,1,0)</f>
        <v>0</v>
      </c>
      <c r="L26" s="13"/>
      <c r="M26" s="13"/>
      <c r="N26" s="14"/>
      <c r="O26" s="14"/>
      <c r="P26" s="14"/>
      <c r="Q26" s="15">
        <f t="shared" si="1"/>
        <v>0</v>
      </c>
      <c r="R26" s="15" t="str">
        <f t="shared" si="2"/>
        <v>-</v>
      </c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</row>
    <row r="27" spans="1:38" ht="15" thickBot="1" x14ac:dyDescent="0.35">
      <c r="A27" s="46" t="s">
        <v>124</v>
      </c>
      <c r="B27" s="12"/>
      <c r="C27" s="12"/>
      <c r="D27" s="12"/>
      <c r="E27" s="12"/>
      <c r="F27" s="12"/>
      <c r="G27" s="12"/>
      <c r="H27" s="13"/>
      <c r="I27" s="13"/>
      <c r="J27" s="13">
        <f t="shared" si="0"/>
        <v>0</v>
      </c>
      <c r="K27" s="13">
        <f t="array" ref="K27">IF(MAX(FREQUENCY(IF(S27:AL27&gt;0,COLUMN(S27:AL27)),IF(S27:AL27&lt;=0,COLUMN(S27:AL27))))&gt;4,1,0)</f>
        <v>0</v>
      </c>
      <c r="L27" s="13"/>
      <c r="M27" s="13"/>
      <c r="N27" s="14"/>
      <c r="O27" s="14"/>
      <c r="P27" s="14"/>
      <c r="Q27" s="15">
        <f t="shared" si="1"/>
        <v>0</v>
      </c>
      <c r="R27" s="15" t="str">
        <f t="shared" si="2"/>
        <v>-</v>
      </c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</row>
    <row r="28" spans="1:38" ht="15" thickBot="1" x14ac:dyDescent="0.35">
      <c r="A28" s="46" t="s">
        <v>125</v>
      </c>
      <c r="B28" s="12"/>
      <c r="C28" s="12"/>
      <c r="D28" s="12"/>
      <c r="E28" s="12"/>
      <c r="F28" s="12"/>
      <c r="G28" s="12"/>
      <c r="H28" s="13"/>
      <c r="I28" s="13"/>
      <c r="J28" s="13">
        <f t="shared" si="0"/>
        <v>0</v>
      </c>
      <c r="K28" s="13">
        <f t="array" ref="K28">IF(MAX(FREQUENCY(IF(S28:AL28&gt;0,COLUMN(S28:AL28)),IF(S28:AL28&lt;=0,COLUMN(S28:AL28))))&gt;4,1,0)</f>
        <v>0</v>
      </c>
      <c r="L28" s="13"/>
      <c r="M28" s="13"/>
      <c r="N28" s="14"/>
      <c r="O28" s="14"/>
      <c r="P28" s="14"/>
      <c r="Q28" s="15">
        <f t="shared" si="1"/>
        <v>0</v>
      </c>
      <c r="R28" s="15" t="str">
        <f t="shared" si="2"/>
        <v>-</v>
      </c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</row>
    <row r="29" spans="1:38" ht="15" thickBot="1" x14ac:dyDescent="0.35">
      <c r="A29" s="46" t="s">
        <v>126</v>
      </c>
      <c r="B29" s="12"/>
      <c r="C29" s="12"/>
      <c r="D29" s="12"/>
      <c r="E29" s="12"/>
      <c r="F29" s="12"/>
      <c r="G29" s="12"/>
      <c r="H29" s="13"/>
      <c r="I29" s="13"/>
      <c r="J29" s="13">
        <f t="shared" si="0"/>
        <v>0</v>
      </c>
      <c r="K29" s="13">
        <f t="array" ref="K29">IF(MAX(FREQUENCY(IF(S29:AL29&gt;0,COLUMN(S29:AL29)),IF(S29:AL29&lt;=0,COLUMN(S29:AL29))))&gt;4,1,0)</f>
        <v>0</v>
      </c>
      <c r="L29" s="13"/>
      <c r="M29" s="13"/>
      <c r="N29" s="14"/>
      <c r="O29" s="14"/>
      <c r="P29" s="14"/>
      <c r="Q29" s="15">
        <f t="shared" si="1"/>
        <v>0</v>
      </c>
      <c r="R29" s="15" t="str">
        <f t="shared" si="2"/>
        <v>-</v>
      </c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</row>
    <row r="30" spans="1:38" ht="15" thickBot="1" x14ac:dyDescent="0.35">
      <c r="A30" s="46" t="s">
        <v>127</v>
      </c>
      <c r="B30" s="12"/>
      <c r="C30" s="12"/>
      <c r="D30" s="12"/>
      <c r="E30" s="12"/>
      <c r="F30" s="12"/>
      <c r="G30" s="12"/>
      <c r="H30" s="13"/>
      <c r="I30" s="13"/>
      <c r="J30" s="13">
        <f t="shared" si="0"/>
        <v>0</v>
      </c>
      <c r="K30" s="13">
        <f t="array" ref="K30">IF(MAX(FREQUENCY(IF(S30:AL30&gt;0,COLUMN(S30:AL30)),IF(S30:AL30&lt;=0,COLUMN(S30:AL30))))&gt;4,1,0)</f>
        <v>0</v>
      </c>
      <c r="L30" s="13"/>
      <c r="M30" s="13"/>
      <c r="N30" s="14"/>
      <c r="O30" s="14"/>
      <c r="P30" s="14"/>
      <c r="Q30" s="15">
        <f t="shared" si="1"/>
        <v>0</v>
      </c>
      <c r="R30" s="15" t="str">
        <f t="shared" si="2"/>
        <v>-</v>
      </c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</row>
    <row r="31" spans="1:38" ht="15" thickBot="1" x14ac:dyDescent="0.35">
      <c r="A31" s="46" t="s">
        <v>128</v>
      </c>
      <c r="B31" s="12"/>
      <c r="C31" s="12"/>
      <c r="D31" s="12"/>
      <c r="E31" s="12"/>
      <c r="F31" s="12"/>
      <c r="G31" s="12"/>
      <c r="H31" s="13"/>
      <c r="I31" s="13"/>
      <c r="J31" s="13">
        <f t="shared" si="0"/>
        <v>0</v>
      </c>
      <c r="K31" s="13">
        <f t="array" ref="K31">IF(MAX(FREQUENCY(IF(S31:AL31&gt;0,COLUMN(S31:AL31)),IF(S31:AL31&lt;=0,COLUMN(S31:AL31))))&gt;4,1,0)</f>
        <v>0</v>
      </c>
      <c r="L31" s="13"/>
      <c r="M31" s="13"/>
      <c r="N31" s="14"/>
      <c r="O31" s="14"/>
      <c r="P31" s="14"/>
      <c r="Q31" s="15">
        <f t="shared" si="1"/>
        <v>0</v>
      </c>
      <c r="R31" s="15" t="str">
        <f t="shared" si="2"/>
        <v>-</v>
      </c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</row>
    <row r="32" spans="1:38" ht="15" thickBot="1" x14ac:dyDescent="0.35">
      <c r="A32" s="47" t="s">
        <v>129</v>
      </c>
      <c r="B32" s="12"/>
      <c r="C32" s="12"/>
      <c r="D32" s="12"/>
      <c r="E32" s="12"/>
      <c r="F32" s="12"/>
      <c r="G32" s="12"/>
      <c r="H32" s="13"/>
      <c r="I32" s="13"/>
      <c r="J32" s="13">
        <f t="shared" si="0"/>
        <v>0</v>
      </c>
      <c r="K32" s="13">
        <f t="array" ref="K32">IF(MAX(FREQUENCY(IF(S32:AL32&gt;0,COLUMN(S32:AL32)),IF(S32:AL32&lt;=0,COLUMN(S32:AL32))))&gt;4,1,0)</f>
        <v>0</v>
      </c>
      <c r="L32" s="13"/>
      <c r="M32" s="13"/>
      <c r="N32" s="14"/>
      <c r="O32" s="14"/>
      <c r="P32" s="14"/>
      <c r="Q32" s="15">
        <f t="shared" si="1"/>
        <v>0</v>
      </c>
      <c r="R32" s="15" t="str">
        <f t="shared" si="2"/>
        <v>-</v>
      </c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</row>
    <row r="33" spans="1:38" ht="15" thickBot="1" x14ac:dyDescent="0.35">
      <c r="A33" s="46" t="s">
        <v>130</v>
      </c>
      <c r="B33" s="12"/>
      <c r="C33" s="12"/>
      <c r="D33" s="12"/>
      <c r="E33" s="12"/>
      <c r="F33" s="12"/>
      <c r="G33" s="12"/>
      <c r="H33" s="13"/>
      <c r="I33" s="13"/>
      <c r="J33" s="13">
        <f t="shared" si="0"/>
        <v>0</v>
      </c>
      <c r="K33" s="13">
        <f t="array" ref="K33">IF(MAX(FREQUENCY(IF(S33:AL33&gt;0,COLUMN(S33:AL33)),IF(S33:AL33&lt;=0,COLUMN(S33:AL33))))&gt;4,1,0)</f>
        <v>0</v>
      </c>
      <c r="L33" s="13"/>
      <c r="M33" s="13"/>
      <c r="N33" s="14"/>
      <c r="O33" s="14"/>
      <c r="P33" s="14"/>
      <c r="Q33" s="15">
        <f t="shared" si="1"/>
        <v>0</v>
      </c>
      <c r="R33" s="15" t="str">
        <f t="shared" si="2"/>
        <v>-</v>
      </c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</row>
    <row r="34" spans="1:38" ht="15" thickBot="1" x14ac:dyDescent="0.35">
      <c r="A34" s="46" t="s">
        <v>131</v>
      </c>
      <c r="B34" s="12"/>
      <c r="C34" s="12"/>
      <c r="D34" s="12"/>
      <c r="E34" s="12"/>
      <c r="F34" s="12"/>
      <c r="G34" s="12"/>
      <c r="H34" s="13"/>
      <c r="I34" s="13"/>
      <c r="J34" s="13">
        <f t="shared" si="0"/>
        <v>0</v>
      </c>
      <c r="K34" s="13">
        <f t="array" ref="K34">IF(MAX(FREQUENCY(IF(S34:AL34&gt;0,COLUMN(S34:AL34)),IF(S34:AL34&lt;=0,COLUMN(S34:AL34))))&gt;4,1,0)</f>
        <v>0</v>
      </c>
      <c r="L34" s="13"/>
      <c r="M34" s="13"/>
      <c r="N34" s="14"/>
      <c r="O34" s="14"/>
      <c r="P34" s="14"/>
      <c r="Q34" s="15">
        <f t="shared" si="1"/>
        <v>0</v>
      </c>
      <c r="R34" s="15" t="str">
        <f t="shared" si="2"/>
        <v>-</v>
      </c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</row>
    <row r="35" spans="1:38" ht="15" thickBot="1" x14ac:dyDescent="0.35">
      <c r="A35" s="46" t="s">
        <v>132</v>
      </c>
      <c r="B35" s="12"/>
      <c r="C35" s="12"/>
      <c r="D35" s="12"/>
      <c r="E35" s="12"/>
      <c r="F35" s="12"/>
      <c r="G35" s="12"/>
      <c r="H35" s="13"/>
      <c r="I35" s="13"/>
      <c r="J35" s="13">
        <f t="shared" si="0"/>
        <v>0</v>
      </c>
      <c r="K35" s="13">
        <f t="array" ref="K35">IF(MAX(FREQUENCY(IF(S35:AL35&gt;0,COLUMN(S35:AL35)),IF(S35:AL35&lt;=0,COLUMN(S35:AL35))))&gt;4,1,0)</f>
        <v>0</v>
      </c>
      <c r="L35" s="13"/>
      <c r="M35" s="13"/>
      <c r="N35" s="14"/>
      <c r="O35" s="14"/>
      <c r="P35" s="14"/>
      <c r="Q35" s="15">
        <f t="shared" si="1"/>
        <v>0</v>
      </c>
      <c r="R35" s="15" t="str">
        <f t="shared" si="2"/>
        <v>-</v>
      </c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</row>
    <row r="36" spans="1:38" ht="15" thickBot="1" x14ac:dyDescent="0.35">
      <c r="A36" s="46" t="s">
        <v>133</v>
      </c>
      <c r="B36" s="12"/>
      <c r="C36" s="12"/>
      <c r="D36" s="12"/>
      <c r="E36" s="12"/>
      <c r="F36" s="12"/>
      <c r="G36" s="12"/>
      <c r="H36" s="13"/>
      <c r="I36" s="13"/>
      <c r="J36" s="13">
        <f t="shared" si="0"/>
        <v>0</v>
      </c>
      <c r="K36" s="13">
        <f t="array" ref="K36">IF(MAX(FREQUENCY(IF(S36:AL36&gt;0,COLUMN(S36:AL36)),IF(S36:AL36&lt;=0,COLUMN(S36:AL36))))&gt;4,1,0)</f>
        <v>0</v>
      </c>
      <c r="L36" s="13"/>
      <c r="M36" s="13"/>
      <c r="N36" s="14"/>
      <c r="O36" s="14"/>
      <c r="P36" s="14"/>
      <c r="Q36" s="15">
        <f t="shared" si="1"/>
        <v>0</v>
      </c>
      <c r="R36" s="15" t="str">
        <f t="shared" si="2"/>
        <v>-</v>
      </c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</row>
    <row r="37" spans="1:38" ht="15" thickBot="1" x14ac:dyDescent="0.35">
      <c r="A37" s="46" t="s">
        <v>134</v>
      </c>
      <c r="B37" s="12"/>
      <c r="C37" s="12"/>
      <c r="D37" s="12"/>
      <c r="E37" s="12"/>
      <c r="F37" s="12"/>
      <c r="G37" s="12"/>
      <c r="H37" s="13"/>
      <c r="I37" s="13"/>
      <c r="J37" s="13">
        <f t="shared" si="0"/>
        <v>0</v>
      </c>
      <c r="K37" s="13">
        <f t="array" ref="K37">IF(MAX(FREQUENCY(IF(S37:AL37&gt;0,COLUMN(S37:AL37)),IF(S37:AL37&lt;=0,COLUMN(S37:AL37))))&gt;4,1,0)</f>
        <v>0</v>
      </c>
      <c r="L37" s="13"/>
      <c r="M37" s="13"/>
      <c r="N37" s="14"/>
      <c r="O37" s="14"/>
      <c r="P37" s="14"/>
      <c r="Q37" s="15">
        <f t="shared" si="1"/>
        <v>0</v>
      </c>
      <c r="R37" s="15" t="str">
        <f t="shared" si="2"/>
        <v>-</v>
      </c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</row>
  </sheetData>
  <mergeCells count="5">
    <mergeCell ref="H1:M1"/>
    <mergeCell ref="B2:G2"/>
    <mergeCell ref="H2:M2"/>
    <mergeCell ref="N2:P2"/>
    <mergeCell ref="S2:AL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7D457-76CD-4A48-BBB5-7642046BBF54}">
  <dimension ref="A1:C35"/>
  <sheetViews>
    <sheetView topLeftCell="A16" workbookViewId="0">
      <selection activeCell="H32" sqref="H32"/>
    </sheetView>
  </sheetViews>
  <sheetFormatPr defaultRowHeight="14.4" x14ac:dyDescent="0.3"/>
  <sheetData>
    <row r="1" spans="1:3" x14ac:dyDescent="0.3">
      <c r="A1" t="s">
        <v>23</v>
      </c>
      <c r="B1" t="s">
        <v>0</v>
      </c>
      <c r="C1" t="s">
        <v>22</v>
      </c>
    </row>
    <row r="2" spans="1:3" x14ac:dyDescent="0.3">
      <c r="A2" t="str">
        <f>'Sec 3 G1 Computing'!A4</f>
        <v>ABRIELLE</v>
      </c>
      <c r="B2" t="str">
        <f>'Sec 3 G1 Computing'!R4</f>
        <v>-</v>
      </c>
      <c r="C2">
        <f>'Sec 3 G1 Computing'!Q4</f>
        <v>0</v>
      </c>
    </row>
    <row r="3" spans="1:3" x14ac:dyDescent="0.3">
      <c r="A3" t="str">
        <f>'Sec 3 G1 Computing'!A5</f>
        <v>PEI LING</v>
      </c>
      <c r="B3" t="str">
        <f>'Sec 3 G1 Computing'!R5</f>
        <v>-</v>
      </c>
      <c r="C3">
        <f>'Sec 3 G1 Computing'!Q5</f>
        <v>0</v>
      </c>
    </row>
    <row r="4" spans="1:3" x14ac:dyDescent="0.3">
      <c r="A4" t="str">
        <f>'Sec 3 G1 Computing'!A6</f>
        <v xml:space="preserve">DIANA </v>
      </c>
      <c r="B4" t="str">
        <f>'Sec 3 G1 Computing'!R6</f>
        <v>-</v>
      </c>
      <c r="C4">
        <f>'Sec 3 G1 Computing'!Q6</f>
        <v>0</v>
      </c>
    </row>
    <row r="5" spans="1:3" x14ac:dyDescent="0.3">
      <c r="A5" t="str">
        <f>'Sec 3 G1 Computing'!A7</f>
        <v xml:space="preserve">FERYAL </v>
      </c>
      <c r="B5" t="str">
        <f>'Sec 3 G1 Computing'!R7</f>
        <v>-</v>
      </c>
      <c r="C5">
        <f>'Sec 3 G1 Computing'!Q7</f>
        <v>0</v>
      </c>
    </row>
    <row r="6" spans="1:3" x14ac:dyDescent="0.3">
      <c r="A6" t="str">
        <f>'Sec 3 G1 Computing'!A8</f>
        <v>JIA XUAN</v>
      </c>
      <c r="B6" t="str">
        <f>'Sec 3 G1 Computing'!R8</f>
        <v>-</v>
      </c>
      <c r="C6">
        <f>'Sec 3 G1 Computing'!Q8</f>
        <v>0</v>
      </c>
    </row>
    <row r="7" spans="1:3" x14ac:dyDescent="0.3">
      <c r="A7" t="str">
        <f>'Sec 3 G1 Computing'!A9</f>
        <v>FREYA</v>
      </c>
      <c r="B7" t="str">
        <f>'Sec 3 G1 Computing'!R9</f>
        <v>-</v>
      </c>
      <c r="C7">
        <f>'Sec 3 G1 Computing'!Q9</f>
        <v>0</v>
      </c>
    </row>
    <row r="8" spans="1:3" x14ac:dyDescent="0.3">
      <c r="A8" t="str">
        <f>'Sec 3 G1 Computing'!A10</f>
        <v>REANNE</v>
      </c>
      <c r="B8" t="str">
        <f>'Sec 3 G1 Computing'!R10</f>
        <v>-</v>
      </c>
      <c r="C8">
        <f>'Sec 3 G1 Computing'!Q10</f>
        <v>0</v>
      </c>
    </row>
    <row r="9" spans="1:3" x14ac:dyDescent="0.3">
      <c r="A9" t="str">
        <f>'Sec 3 G1 Computing'!A11</f>
        <v>JANICE</v>
      </c>
      <c r="B9" t="str">
        <f>'Sec 3 G1 Computing'!R11</f>
        <v>-</v>
      </c>
      <c r="C9">
        <f>'Sec 3 G1 Computing'!Q11</f>
        <v>0</v>
      </c>
    </row>
    <row r="10" spans="1:3" x14ac:dyDescent="0.3">
      <c r="A10" t="str">
        <f>'Sec 3 G1 Computing'!A12</f>
        <v>DANIEL</v>
      </c>
      <c r="B10" t="str">
        <f>'Sec 3 G1 Computing'!R12</f>
        <v>-</v>
      </c>
      <c r="C10">
        <f>'Sec 3 G1 Computing'!Q12</f>
        <v>0</v>
      </c>
    </row>
    <row r="11" spans="1:3" x14ac:dyDescent="0.3">
      <c r="A11" t="str">
        <f>'Sec 3 G1 Computing'!A13</f>
        <v>HOWARD</v>
      </c>
      <c r="B11" t="str">
        <f>'Sec 3 G1 Computing'!R13</f>
        <v>-</v>
      </c>
      <c r="C11">
        <f>'Sec 3 G1 Computing'!Q13</f>
        <v>0</v>
      </c>
    </row>
    <row r="12" spans="1:3" x14ac:dyDescent="0.3">
      <c r="A12" t="str">
        <f>'Sec 3 G1 Computing'!A14</f>
        <v xml:space="preserve">JASPER </v>
      </c>
      <c r="B12" t="str">
        <f>'Sec 3 G1 Computing'!R14</f>
        <v>-</v>
      </c>
      <c r="C12">
        <f>'Sec 3 G1 Computing'!Q14</f>
        <v>0</v>
      </c>
    </row>
    <row r="13" spans="1:3" x14ac:dyDescent="0.3">
      <c r="A13" t="str">
        <f>'Sec 3 G1 Computing'!A15</f>
        <v xml:space="preserve">JOLIN </v>
      </c>
      <c r="B13" t="str">
        <f>'Sec 3 G1 Computing'!R15</f>
        <v>-</v>
      </c>
      <c r="C13">
        <f>'Sec 3 G1 Computing'!Q15</f>
        <v>0</v>
      </c>
    </row>
    <row r="14" spans="1:3" x14ac:dyDescent="0.3">
      <c r="A14" t="str">
        <f>'Sec 3 G1 Computing'!A16</f>
        <v xml:space="preserve">JUSTINE </v>
      </c>
      <c r="B14" t="str">
        <f>'Sec 3 G1 Computing'!R16</f>
        <v>-</v>
      </c>
      <c r="C14">
        <f>'Sec 3 G1 Computing'!Q16</f>
        <v>0</v>
      </c>
    </row>
    <row r="15" spans="1:3" x14ac:dyDescent="0.3">
      <c r="A15" t="str">
        <f>'Sec 3 G1 Computing'!A17</f>
        <v xml:space="preserve">KAY </v>
      </c>
      <c r="B15" t="str">
        <f>'Sec 3 G1 Computing'!R17</f>
        <v>-</v>
      </c>
      <c r="C15">
        <f>'Sec 3 G1 Computing'!Q17</f>
        <v>0</v>
      </c>
    </row>
    <row r="16" spans="1:3" x14ac:dyDescent="0.3">
      <c r="A16" t="str">
        <f>'Sec 3 G1 Computing'!A18</f>
        <v>VERNICE</v>
      </c>
      <c r="B16" t="str">
        <f>'Sec 3 G1 Computing'!R18</f>
        <v>-</v>
      </c>
      <c r="C16">
        <f>'Sec 3 G1 Computing'!Q18</f>
        <v>0</v>
      </c>
    </row>
    <row r="17" spans="1:3" x14ac:dyDescent="0.3">
      <c r="A17" t="str">
        <f>'Sec 3 G1 Computing'!A19</f>
        <v>CHRIS</v>
      </c>
      <c r="B17" t="str">
        <f>'Sec 3 G1 Computing'!R19</f>
        <v>-</v>
      </c>
      <c r="C17">
        <f>'Sec 3 G1 Computing'!Q19</f>
        <v>0</v>
      </c>
    </row>
    <row r="18" spans="1:3" x14ac:dyDescent="0.3">
      <c r="A18" t="str">
        <f>'Sec 3 G1 Computing'!A20</f>
        <v>KAI FENG</v>
      </c>
      <c r="B18" t="str">
        <f>'Sec 3 G1 Computing'!R20</f>
        <v>-</v>
      </c>
      <c r="C18">
        <f>'Sec 3 G1 Computing'!Q20</f>
        <v>0</v>
      </c>
    </row>
    <row r="19" spans="1:3" x14ac:dyDescent="0.3">
      <c r="A19" t="str">
        <f>'Sec 3 G1 Computing'!A21</f>
        <v>HANNAH</v>
      </c>
      <c r="B19" t="str">
        <f>'Sec 3 G1 Computing'!R21</f>
        <v>-</v>
      </c>
      <c r="C19">
        <f>'Sec 3 G1 Computing'!Q21</f>
        <v>0</v>
      </c>
    </row>
    <row r="20" spans="1:3" x14ac:dyDescent="0.3">
      <c r="A20" t="str">
        <f>'Sec 3 G1 Computing'!A22</f>
        <v>LEROY</v>
      </c>
      <c r="B20" t="str">
        <f>'Sec 3 G1 Computing'!R22</f>
        <v>-</v>
      </c>
      <c r="C20">
        <f>'Sec 3 G1 Computing'!Q22</f>
        <v>0</v>
      </c>
    </row>
    <row r="21" spans="1:3" x14ac:dyDescent="0.3">
      <c r="A21" t="str">
        <f>'Sec 3 G1 Computing'!A23</f>
        <v>ELIJAH</v>
      </c>
      <c r="B21" t="str">
        <f>'Sec 3 G1 Computing'!R23</f>
        <v>-</v>
      </c>
      <c r="C21">
        <f>'Sec 3 G1 Computing'!Q23</f>
        <v>0</v>
      </c>
    </row>
    <row r="22" spans="1:3" x14ac:dyDescent="0.3">
      <c r="A22" t="str">
        <f>'Sec 3 G1 Computing'!A24</f>
        <v>RUBEN</v>
      </c>
      <c r="B22" t="str">
        <f>'Sec 3 G1 Computing'!R24</f>
        <v>-</v>
      </c>
      <c r="C22">
        <f>'Sec 3 G1 Computing'!Q24</f>
        <v>0</v>
      </c>
    </row>
    <row r="23" spans="1:3" x14ac:dyDescent="0.3">
      <c r="A23" t="str">
        <f>'Sec 3 G1 Computing'!A25</f>
        <v>IAN</v>
      </c>
      <c r="B23" t="str">
        <f>'Sec 3 G1 Computing'!R25</f>
        <v>-</v>
      </c>
      <c r="C23">
        <f>'Sec 3 G1 Computing'!Q25</f>
        <v>0</v>
      </c>
    </row>
    <row r="24" spans="1:3" x14ac:dyDescent="0.3">
      <c r="A24" t="str">
        <f>'Sec 3 G1 Computing'!A26</f>
        <v xml:space="preserve">ADAWIYAH </v>
      </c>
      <c r="B24" t="str">
        <f>'Sec 3 G1 Computing'!R26</f>
        <v>-</v>
      </c>
      <c r="C24">
        <f>'Sec 3 G1 Computing'!Q26</f>
        <v>0</v>
      </c>
    </row>
    <row r="25" spans="1:3" x14ac:dyDescent="0.3">
      <c r="A25" t="str">
        <f>'Sec 3 G1 Computing'!A27</f>
        <v>ZI LIANG</v>
      </c>
      <c r="B25" t="str">
        <f>'Sec 3 G1 Computing'!R27</f>
        <v>-</v>
      </c>
      <c r="C25">
        <f>'Sec 3 G1 Computing'!Q27</f>
        <v>0</v>
      </c>
    </row>
    <row r="26" spans="1:3" x14ac:dyDescent="0.3">
      <c r="A26" t="str">
        <f>'Sec 3 G1 Computing'!A28</f>
        <v xml:space="preserve">NATHANIEL </v>
      </c>
      <c r="B26" t="str">
        <f>'Sec 3 G1 Computing'!R28</f>
        <v>-</v>
      </c>
      <c r="C26">
        <f>'Sec 3 G1 Computing'!Q28</f>
        <v>0</v>
      </c>
    </row>
    <row r="27" spans="1:3" x14ac:dyDescent="0.3">
      <c r="A27" t="str">
        <f>'Sec 3 G1 Computing'!A29</f>
        <v>SHEVON</v>
      </c>
      <c r="B27" t="str">
        <f>'Sec 3 G1 Computing'!R29</f>
        <v>-</v>
      </c>
      <c r="C27">
        <f>'Sec 3 G1 Computing'!Q29</f>
        <v>0</v>
      </c>
    </row>
    <row r="28" spans="1:3" x14ac:dyDescent="0.3">
      <c r="A28" t="str">
        <f>'Sec 3 G1 Computing'!A30</f>
        <v xml:space="preserve">PRINZE </v>
      </c>
      <c r="B28" t="str">
        <f>'Sec 3 G1 Computing'!R30</f>
        <v>-</v>
      </c>
      <c r="C28">
        <f>'Sec 3 G1 Computing'!Q30</f>
        <v>0</v>
      </c>
    </row>
    <row r="29" spans="1:3" x14ac:dyDescent="0.3">
      <c r="A29" t="str">
        <f>'Sec 3 G1 Computing'!A31</f>
        <v xml:space="preserve">RAPHAEL </v>
      </c>
      <c r="B29" t="str">
        <f>'Sec 3 G1 Computing'!R31</f>
        <v>-</v>
      </c>
      <c r="C29">
        <f>'Sec 3 G1 Computing'!Q31</f>
        <v>0</v>
      </c>
    </row>
    <row r="30" spans="1:3" x14ac:dyDescent="0.3">
      <c r="A30" t="str">
        <f>'Sec 3 G1 Computing'!A32</f>
        <v>SEAN</v>
      </c>
      <c r="B30" t="str">
        <f>'Sec 3 G1 Computing'!R32</f>
        <v>-</v>
      </c>
      <c r="C30">
        <f>'Sec 3 G1 Computing'!Q32</f>
        <v>0</v>
      </c>
    </row>
    <row r="31" spans="1:3" x14ac:dyDescent="0.3">
      <c r="A31" t="str">
        <f>'Sec 3 G1 Computing'!A33</f>
        <v>JOSHUA</v>
      </c>
      <c r="B31" t="str">
        <f>'Sec 3 G1 Computing'!R33</f>
        <v>-</v>
      </c>
      <c r="C31">
        <f>'Sec 3 G1 Computing'!Q33</f>
        <v>0</v>
      </c>
    </row>
    <row r="32" spans="1:3" x14ac:dyDescent="0.3">
      <c r="A32" t="str">
        <f>'Sec 3 G1 Computing'!A34</f>
        <v xml:space="preserve">WAYNE </v>
      </c>
      <c r="B32" t="str">
        <f>'Sec 3 G1 Computing'!R34</f>
        <v>-</v>
      </c>
      <c r="C32">
        <f>'Sec 3 G1 Computing'!Q34</f>
        <v>0</v>
      </c>
    </row>
    <row r="33" spans="1:3" x14ac:dyDescent="0.3">
      <c r="A33" t="str">
        <f>'Sec 3 G1 Computing'!A35</f>
        <v>YEN WEI</v>
      </c>
      <c r="B33" t="str">
        <f>'Sec 3 G1 Computing'!R35</f>
        <v>-</v>
      </c>
      <c r="C33">
        <f>'Sec 3 G1 Computing'!Q35</f>
        <v>0</v>
      </c>
    </row>
    <row r="34" spans="1:3" x14ac:dyDescent="0.3">
      <c r="A34" t="str">
        <f>'Sec 3 G1 Computing'!A36</f>
        <v>XIN CHENG</v>
      </c>
      <c r="B34" t="str">
        <f>'Sec 3 G1 Computing'!R36</f>
        <v>-</v>
      </c>
      <c r="C34">
        <f>'Sec 3 G1 Computing'!Q36</f>
        <v>0</v>
      </c>
    </row>
    <row r="35" spans="1:3" x14ac:dyDescent="0.3">
      <c r="A35" t="str">
        <f>'Sec 3 G1 Computing'!A37</f>
        <v>WEILI</v>
      </c>
      <c r="B35" t="str">
        <f>'Sec 3 G1 Computing'!R37</f>
        <v>-</v>
      </c>
      <c r="C35">
        <f>'Sec 3 G1 Computing'!Q37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Sec 3 Amath Data</vt:lpstr>
      <vt:lpstr>S3 AM</vt:lpstr>
      <vt:lpstr>Sec 2 G2 Data</vt:lpstr>
      <vt:lpstr>S2 G2</vt:lpstr>
      <vt:lpstr>Sec 2 G3</vt:lpstr>
      <vt:lpstr>S2 G3</vt:lpstr>
      <vt:lpstr>Sec 3 G1 Computing</vt:lpstr>
      <vt:lpstr>S3 G1 Comp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 Wen Jun</dc:creator>
  <cp:lastModifiedBy>Ng Wen Jun</cp:lastModifiedBy>
  <dcterms:created xsi:type="dcterms:W3CDTF">2015-06-05T18:17:20Z</dcterms:created>
  <dcterms:modified xsi:type="dcterms:W3CDTF">2026-01-08T02:44:33Z</dcterms:modified>
</cp:coreProperties>
</file>