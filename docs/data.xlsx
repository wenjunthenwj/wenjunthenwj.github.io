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c 3 Amath Data" sheetId="1" r:id="rId4"/>
    <sheet state="visible" name="S3 AM" sheetId="2" r:id="rId5"/>
    <sheet state="visible" name="Sec 2 G2 Data" sheetId="3" r:id="rId6"/>
    <sheet state="visible" name="S2 G2" sheetId="4" r:id="rId7"/>
    <sheet state="visible" name="Sec 2 G3" sheetId="5" r:id="rId8"/>
    <sheet state="visible" name="S2 G3" sheetId="6" r:id="rId9"/>
    <sheet state="visible" name="Sec 3 G1 Computing" sheetId="7" r:id="rId10"/>
    <sheet state="visible" name="S3 G1 Comp" sheetId="8" r:id="rId11"/>
  </sheets>
  <definedNames/>
  <calcPr/>
  <extLst>
    <ext uri="GoogleSheetsCustomDataVersion2">
      <go:sheetsCustomData xmlns:go="http://customooxmlschemas.google.com/" r:id="rId12" roundtripDataChecksum="yMDHkBuqTDb8rWp24fV9HdWhCnXdTzuyCogBu+XwCYQ="/>
    </ext>
  </extLst>
</workbook>
</file>

<file path=xl/sharedStrings.xml><?xml version="1.0" encoding="utf-8"?>
<sst xmlns="http://schemas.openxmlformats.org/spreadsheetml/2006/main" count="226" uniqueCount="137">
  <si>
    <t>4A</t>
  </si>
  <si>
    <t>Easy</t>
  </si>
  <si>
    <t>Medium</t>
  </si>
  <si>
    <t>Hard</t>
  </si>
  <si>
    <t>Homeworks</t>
  </si>
  <si>
    <t>Register No.</t>
  </si>
  <si>
    <t>I Love Math</t>
  </si>
  <si>
    <t>I Say Hi</t>
  </si>
  <si>
    <t>Nowhere to Hide</t>
  </si>
  <si>
    <t>Gaming is life</t>
  </si>
  <si>
    <t>Blast to the Past</t>
  </si>
  <si>
    <t>Help a friend!</t>
  </si>
  <si>
    <t>Full Combo</t>
  </si>
  <si>
    <t>Math Ambassador</t>
  </si>
  <si>
    <t>Three-Star Wonder</t>
  </si>
  <si>
    <t>Consistency Is Key</t>
  </si>
  <si>
    <t>Extra Credit</t>
  </si>
  <si>
    <t>Memelord</t>
  </si>
  <si>
    <t>Math Enthusiast</t>
  </si>
  <si>
    <t>Future Mathematician</t>
  </si>
  <si>
    <t>Math Genius</t>
  </si>
  <si>
    <t>Total Stars</t>
  </si>
  <si>
    <t>Achievements</t>
  </si>
  <si>
    <t>Bonus</t>
  </si>
  <si>
    <t>Joshua</t>
  </si>
  <si>
    <t>-</t>
  </si>
  <si>
    <t>Pin Tche</t>
  </si>
  <si>
    <t>Jaymee</t>
  </si>
  <si>
    <t>Jayson</t>
  </si>
  <si>
    <t>Karlson</t>
  </si>
  <si>
    <t>Clara</t>
  </si>
  <si>
    <t>Ryan</t>
  </si>
  <si>
    <t>Shermaine</t>
  </si>
  <si>
    <t>Yan Cheng</t>
  </si>
  <si>
    <t>Ding Jie</t>
  </si>
  <si>
    <t>Wei Jei</t>
  </si>
  <si>
    <t>Shi Heng</t>
  </si>
  <si>
    <t>Randall</t>
  </si>
  <si>
    <t>Rayner</t>
  </si>
  <si>
    <t>Si Ning</t>
  </si>
  <si>
    <t>Colette</t>
  </si>
  <si>
    <t>Zachary</t>
  </si>
  <si>
    <t>Vera</t>
  </si>
  <si>
    <t>Jack</t>
  </si>
  <si>
    <t>Xinting</t>
  </si>
  <si>
    <t>Nickname</t>
  </si>
  <si>
    <t>Star count</t>
  </si>
  <si>
    <t>Daniel</t>
  </si>
  <si>
    <t>Ming Hao</t>
  </si>
  <si>
    <t>En Yue</t>
  </si>
  <si>
    <t>En Hui</t>
  </si>
  <si>
    <t>Reza</t>
  </si>
  <si>
    <t>Verlene</t>
  </si>
  <si>
    <t>Vivian</t>
  </si>
  <si>
    <t>Naladriel</t>
  </si>
  <si>
    <t>Chloe</t>
  </si>
  <si>
    <t>Emma</t>
  </si>
  <si>
    <t>Darius</t>
  </si>
  <si>
    <t>Jing Xuan</t>
  </si>
  <si>
    <t>Jesserina</t>
  </si>
  <si>
    <t>Jenelle</t>
  </si>
  <si>
    <t>Lerynn</t>
  </si>
  <si>
    <t>Trevor</t>
  </si>
  <si>
    <t>En Qi</t>
  </si>
  <si>
    <t>Lee Ren</t>
  </si>
  <si>
    <t>Andreas</t>
  </si>
  <si>
    <t>Bao Le</t>
  </si>
  <si>
    <t>Sofia</t>
  </si>
  <si>
    <t>Jayden Soh</t>
  </si>
  <si>
    <t>Geng Qi</t>
  </si>
  <si>
    <t>Qiu Yun</t>
  </si>
  <si>
    <t>Rui Xuan</t>
  </si>
  <si>
    <t>Arrissa</t>
  </si>
  <si>
    <t>Zavier</t>
  </si>
  <si>
    <t>Kah Jun</t>
  </si>
  <si>
    <t>Charlyn</t>
  </si>
  <si>
    <t>Fu Ying</t>
  </si>
  <si>
    <t>Chevelle</t>
  </si>
  <si>
    <t>Meng Long</t>
  </si>
  <si>
    <t>Derric</t>
  </si>
  <si>
    <t>Edward</t>
  </si>
  <si>
    <t>Elizabeth</t>
  </si>
  <si>
    <t>Geneve</t>
  </si>
  <si>
    <t>Hayley</t>
  </si>
  <si>
    <t>Joyce</t>
  </si>
  <si>
    <t>Qing Tian</t>
  </si>
  <si>
    <t>Adrien</t>
  </si>
  <si>
    <t>Claire</t>
  </si>
  <si>
    <t>Jayden Lee</t>
  </si>
  <si>
    <t>Raeanne</t>
  </si>
  <si>
    <t>Zong Han</t>
  </si>
  <si>
    <t>Yue Tong</t>
  </si>
  <si>
    <t>Hao Yi</t>
  </si>
  <si>
    <t>Keegan</t>
  </si>
  <si>
    <t>Jing Le</t>
  </si>
  <si>
    <t>S</t>
  </si>
  <si>
    <t>Kai Qi</t>
  </si>
  <si>
    <t>Don</t>
  </si>
  <si>
    <t>Alicia</t>
  </si>
  <si>
    <t>Jacinda</t>
  </si>
  <si>
    <t>Ashley</t>
  </si>
  <si>
    <t>Taven</t>
  </si>
  <si>
    <t>Sur Lynn</t>
  </si>
  <si>
    <t>ABRIELLE</t>
  </si>
  <si>
    <t>PEI LING</t>
  </si>
  <si>
    <t xml:space="preserve">DIANA </t>
  </si>
  <si>
    <t xml:space="preserve">FERYAL </t>
  </si>
  <si>
    <t>FION</t>
  </si>
  <si>
    <t>FREYA</t>
  </si>
  <si>
    <t>REANNE</t>
  </si>
  <si>
    <t>JANICE</t>
  </si>
  <si>
    <t>DANIEL</t>
  </si>
  <si>
    <t>HOWARD</t>
  </si>
  <si>
    <t xml:space="preserve">JASPER </t>
  </si>
  <si>
    <t xml:space="preserve">JOLIN </t>
  </si>
  <si>
    <t xml:space="preserve">JUSTINE </t>
  </si>
  <si>
    <t xml:space="preserve">KAY </t>
  </si>
  <si>
    <t>VERNICE</t>
  </si>
  <si>
    <t>CHRIS</t>
  </si>
  <si>
    <t>KAI FENG</t>
  </si>
  <si>
    <t>HANNAH</t>
  </si>
  <si>
    <t>LEROY</t>
  </si>
  <si>
    <t>ELIJAH</t>
  </si>
  <si>
    <t>RUBEN</t>
  </si>
  <si>
    <t>IAN</t>
  </si>
  <si>
    <t xml:space="preserve">ADAWIYAH </t>
  </si>
  <si>
    <t>ZI LIANG</t>
  </si>
  <si>
    <t xml:space="preserve">NATHANIEL </t>
  </si>
  <si>
    <t>SHEVON</t>
  </si>
  <si>
    <t xml:space="preserve">PRINZE </t>
  </si>
  <si>
    <t xml:space="preserve">RAPHAEL </t>
  </si>
  <si>
    <t>SEAN</t>
  </si>
  <si>
    <t>JOSHUA</t>
  </si>
  <si>
    <t xml:space="preserve">WAYNE </t>
  </si>
  <si>
    <t>YEN WEI</t>
  </si>
  <si>
    <t>XIN CHENG</t>
  </si>
  <si>
    <t>WEILI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</si>
</sst>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/>
    <font>
      <b/>
      <sz val="11.0"/>
      <color theme="1"/>
      <name val="Calibri"/>
    </font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</fills>
  <borders count="21">
    <border/>
    <border>
      <left style="thin">
        <color rgb="FF000000"/>
      </left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</border>
    <border>
      <left/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2" fillId="2" fontId="2" numFmtId="0" xfId="0" applyBorder="1" applyFont="1"/>
    <xf borderId="3" fillId="3" fontId="2" numFmtId="0" xfId="0" applyAlignment="1" applyBorder="1" applyFill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2" fillId="4" fontId="2" numFmtId="0" xfId="0" applyBorder="1" applyFill="1" applyFont="1"/>
    <xf borderId="6" fillId="0" fontId="2" numFmtId="0" xfId="0" applyBorder="1" applyFont="1"/>
    <xf borderId="0" fillId="0" fontId="2" numFmtId="0" xfId="0" applyAlignment="1" applyFont="1">
      <alignment shrinkToFit="0" wrapText="1"/>
    </xf>
    <xf borderId="1" fillId="5" fontId="2" numFmtId="0" xfId="0" applyBorder="1" applyFill="1" applyFont="1"/>
    <xf borderId="2" fillId="5" fontId="2" numFmtId="0" xfId="0" applyBorder="1" applyFont="1"/>
    <xf borderId="7" fillId="5" fontId="2" numFmtId="0" xfId="0" applyBorder="1" applyFont="1"/>
    <xf borderId="8" fillId="2" fontId="2" numFmtId="0" xfId="0" applyAlignment="1" applyBorder="1" applyFont="1">
      <alignment horizontal="center"/>
    </xf>
    <xf borderId="9" fillId="0" fontId="3" numFmtId="0" xfId="0" applyBorder="1" applyFont="1"/>
    <xf borderId="10" fillId="0" fontId="3" numFmtId="0" xfId="0" applyBorder="1" applyFont="1"/>
    <xf borderId="8" fillId="3" fontId="2" numFmtId="0" xfId="0" applyAlignment="1" applyBorder="1" applyFont="1">
      <alignment horizontal="center"/>
    </xf>
    <xf borderId="8" fillId="4" fontId="2" numFmtId="0" xfId="0" applyAlignment="1" applyBorder="1" applyFont="1">
      <alignment horizontal="center"/>
    </xf>
    <xf borderId="8" fillId="5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shrinkToFit="0" vertical="center" wrapText="1"/>
    </xf>
    <xf borderId="11" fillId="5" fontId="4" numFmtId="0" xfId="0" applyAlignment="1" applyBorder="1" applyFont="1">
      <alignment horizontal="center" vertical="center"/>
    </xf>
    <xf borderId="12" fillId="6" fontId="2" numFmtId="0" xfId="0" applyAlignment="1" applyBorder="1" applyFill="1" applyFont="1">
      <alignment shrinkToFit="0" wrapText="1"/>
    </xf>
    <xf borderId="11" fillId="2" fontId="2" numFmtId="0" xfId="0" applyAlignment="1" applyBorder="1" applyFont="1">
      <alignment horizontal="center" vertical="center"/>
    </xf>
    <xf borderId="11" fillId="3" fontId="2" numFmtId="0" xfId="0" applyAlignment="1" applyBorder="1" applyFont="1">
      <alignment horizontal="center" vertical="center"/>
    </xf>
    <xf borderId="11" fillId="4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1" fillId="5" fontId="2" numFmtId="0" xfId="0" applyAlignment="1" applyBorder="1" applyFont="1">
      <alignment horizontal="center" readingOrder="0" vertical="center"/>
    </xf>
    <xf borderId="11" fillId="5" fontId="2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13" fillId="6" fontId="2" numFmtId="0" xfId="0" applyAlignment="1" applyBorder="1" applyFont="1">
      <alignment shrinkToFit="0" wrapText="1"/>
    </xf>
    <xf borderId="11" fillId="3" fontId="2" numFmtId="0" xfId="0" applyAlignment="1" applyBorder="1" applyFont="1">
      <alignment horizontal="center" readingOrder="0" vertical="center"/>
    </xf>
    <xf borderId="13" fillId="6" fontId="2" numFmtId="0" xfId="0" applyAlignment="1" applyBorder="1" applyFont="1">
      <alignment readingOrder="0" shrinkToFit="0" wrapText="1"/>
    </xf>
    <xf borderId="14" fillId="6" fontId="2" numFmtId="0" xfId="0" applyAlignment="1" applyBorder="1" applyFont="1">
      <alignment vertical="center"/>
    </xf>
    <xf borderId="1" fillId="3" fontId="2" numFmtId="0" xfId="0" applyBorder="1" applyFont="1"/>
    <xf borderId="2" fillId="3" fontId="2" numFmtId="0" xfId="0" applyBorder="1" applyFont="1"/>
    <xf borderId="1" fillId="4" fontId="2" numFmtId="0" xfId="0" applyBorder="1" applyFont="1"/>
    <xf borderId="15" fillId="0" fontId="2" numFmtId="0" xfId="0" applyAlignment="1" applyBorder="1" applyFont="1">
      <alignment shrinkToFit="0" wrapText="1"/>
    </xf>
    <xf borderId="16" fillId="0" fontId="2" numFmtId="0" xfId="0" applyAlignment="1" applyBorder="1" applyFont="1">
      <alignment shrinkToFit="0" wrapText="1"/>
    </xf>
    <xf borderId="11" fillId="2" fontId="2" numFmtId="0" xfId="0" applyAlignment="1" applyBorder="1" applyFont="1">
      <alignment horizontal="center" readingOrder="0" vertical="center"/>
    </xf>
    <xf borderId="17" fillId="0" fontId="2" numFmtId="0" xfId="0" applyAlignment="1" applyBorder="1" applyFont="1">
      <alignment shrinkToFit="0" wrapText="1"/>
    </xf>
    <xf borderId="18" fillId="0" fontId="2" numFmtId="0" xfId="0" applyAlignment="1" applyBorder="1" applyFont="1">
      <alignment shrinkToFit="0" wrapText="1"/>
    </xf>
    <xf borderId="0" fillId="0" fontId="1" numFmtId="0" xfId="0" applyFont="1"/>
    <xf borderId="11" fillId="4" fontId="2" numFmtId="0" xfId="0" applyAlignment="1" applyBorder="1" applyFont="1">
      <alignment horizontal="center" readingOrder="0" vertical="center"/>
    </xf>
    <xf borderId="19" fillId="0" fontId="2" numFmtId="0" xfId="0" applyAlignment="1" applyBorder="1" applyFont="1">
      <alignment vertical="center"/>
    </xf>
    <xf borderId="19" fillId="0" fontId="2" numFmtId="0" xfId="0" applyAlignment="1" applyBorder="1" applyFont="1">
      <alignment shrinkToFit="0" wrapText="1"/>
    </xf>
    <xf borderId="20" fillId="0" fontId="5" numFmtId="0" xfId="0" applyAlignment="1" applyBorder="1" applyFont="1">
      <alignment vertical="center"/>
    </xf>
    <xf borderId="14" fillId="0" fontId="5" numFmtId="0" xfId="0" applyAlignment="1" applyBorder="1" applyFont="1">
      <alignment vertical="center"/>
    </xf>
    <xf borderId="14" fillId="0" fontId="5" numFmtId="0" xfId="0" applyAlignment="1" applyBorder="1" applyFont="1">
      <alignment readingOrder="0" vertical="center"/>
    </xf>
    <xf borderId="13" fillId="0" fontId="5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25" t="s">
        <v>24</v>
      </c>
      <c r="B4" s="26"/>
      <c r="C4" s="26"/>
      <c r="D4" s="26"/>
      <c r="E4" s="26"/>
      <c r="F4" s="26"/>
      <c r="G4" s="26"/>
      <c r="H4" s="27"/>
      <c r="I4" s="27"/>
      <c r="J4" s="27">
        <f t="shared" ref="J4:J23" si="1">IF(COUNTIF(S4:AL4,"&gt;=3")&gt;=3,1,0)</f>
        <v>0</v>
      </c>
      <c r="K4" s="27">
        <f t="array" ref="K4">IF(MAX(FREQUENCY(IF(S4:AL4&gt;0,COLUMN(S4:AL4)),IF(S4:AL4&lt;=0,COLUMN(S4:AL4))))&gt;4,1,0)</f>
        <v>1</v>
      </c>
      <c r="L4" s="27"/>
      <c r="M4" s="27"/>
      <c r="N4" s="28"/>
      <c r="O4" s="28"/>
      <c r="P4" s="28"/>
      <c r="Q4" s="29">
        <f t="shared" ref="Q4:Q23" si="2">SUM(B4:G4)+3*SUM(H4:M4)+5*SUM(N4:P4)+SUM(S4:AM4)</f>
        <v>14</v>
      </c>
      <c r="R4" s="29" t="str">
        <f t="shared" ref="R4:R2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-Consistency Is Key, </v>
      </c>
      <c r="S4" s="30">
        <v>2.0</v>
      </c>
      <c r="T4" s="30">
        <v>1.0</v>
      </c>
      <c r="U4" s="30" t="s">
        <v>25</v>
      </c>
      <c r="V4" s="30">
        <v>2.0</v>
      </c>
      <c r="W4" s="30">
        <v>3.0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2">
        <v>3.0</v>
      </c>
    </row>
    <row r="5" ht="14.25" customHeight="1">
      <c r="A5" s="33" t="s">
        <v>26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1</v>
      </c>
      <c r="K5" s="27">
        <f t="array" ref="K5">IF(MAX(FREQUENCY(IF(S5:AL5&gt;0,COLUMN(S5:AL5)),IF(S5:AL5&lt;=0,COLUMN(S5:AL5))))&gt;4,1,0)</f>
        <v>1</v>
      </c>
      <c r="L5" s="27"/>
      <c r="M5" s="27"/>
      <c r="N5" s="28"/>
      <c r="O5" s="28"/>
      <c r="P5" s="28"/>
      <c r="Q5" s="29">
        <f t="shared" si="2"/>
        <v>19</v>
      </c>
      <c r="R5" s="29" t="str">
        <f t="shared" si="3"/>
        <v>-Three-Star Wonder, Consistency Is Key, </v>
      </c>
      <c r="S5" s="30">
        <v>2.0</v>
      </c>
      <c r="T5" s="30">
        <v>3.0</v>
      </c>
      <c r="U5" s="30">
        <v>2.0</v>
      </c>
      <c r="V5" s="30">
        <v>3.0</v>
      </c>
      <c r="W5" s="30">
        <v>3.0</v>
      </c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33" t="s">
        <v>27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1</v>
      </c>
      <c r="K6" s="27">
        <f t="array" ref="K6">IF(MAX(FREQUENCY(IF(S6:AL6&gt;0,COLUMN(S6:AL6)),IF(S6:AL6&lt;=0,COLUMN(S6:AL6))))&gt;4,1,0)</f>
        <v>1</v>
      </c>
      <c r="L6" s="27"/>
      <c r="M6" s="27"/>
      <c r="N6" s="28"/>
      <c r="O6" s="28"/>
      <c r="P6" s="28"/>
      <c r="Q6" s="29">
        <f t="shared" si="2"/>
        <v>19</v>
      </c>
      <c r="R6" s="29" t="str">
        <f t="shared" si="3"/>
        <v>-Three-Star Wonder, Consistency Is Key, </v>
      </c>
      <c r="S6" s="30">
        <v>1.0</v>
      </c>
      <c r="T6" s="30">
        <v>3.0</v>
      </c>
      <c r="U6" s="30">
        <v>3.0</v>
      </c>
      <c r="V6" s="30">
        <v>3.0</v>
      </c>
      <c r="W6" s="30">
        <v>3.0</v>
      </c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33" t="s">
        <v>28</v>
      </c>
      <c r="B7" s="26"/>
      <c r="C7" s="26"/>
      <c r="D7" s="26"/>
      <c r="E7" s="26"/>
      <c r="F7" s="26"/>
      <c r="G7" s="26"/>
      <c r="H7" s="34">
        <v>1.0</v>
      </c>
      <c r="I7" s="27"/>
      <c r="J7" s="27">
        <f t="shared" si="1"/>
        <v>1</v>
      </c>
      <c r="K7" s="27">
        <f t="array" ref="K7">IF(MAX(FREQUENCY(IF(S7:AL7&gt;0,COLUMN(S7:AL7)),IF(S7:AL7&lt;=0,COLUMN(S7:AL7))))&gt;4,1,0)</f>
        <v>1</v>
      </c>
      <c r="L7" s="27"/>
      <c r="M7" s="27"/>
      <c r="N7" s="28"/>
      <c r="O7" s="28"/>
      <c r="P7" s="28"/>
      <c r="Q7" s="29">
        <f t="shared" si="2"/>
        <v>19</v>
      </c>
      <c r="R7" s="29" t="str">
        <f t="shared" si="3"/>
        <v>-Full Combo, Three-Star Wonder, Consistency Is Key, </v>
      </c>
      <c r="S7" s="30">
        <v>3.0</v>
      </c>
      <c r="T7" s="30">
        <v>1.0</v>
      </c>
      <c r="U7" s="30" t="s">
        <v>25</v>
      </c>
      <c r="V7" s="30">
        <v>3.0</v>
      </c>
      <c r="W7" s="30">
        <v>3.0</v>
      </c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35" t="s">
        <v>29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7</v>
      </c>
      <c r="R8" s="29" t="str">
        <f t="shared" si="3"/>
        <v>-</v>
      </c>
      <c r="S8" s="30">
        <v>2.0</v>
      </c>
      <c r="T8" s="30">
        <v>0.0</v>
      </c>
      <c r="U8" s="30" t="s">
        <v>25</v>
      </c>
      <c r="V8" s="30">
        <v>2.0</v>
      </c>
      <c r="W8" s="30">
        <v>3.0</v>
      </c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33" t="s">
        <v>30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1</v>
      </c>
      <c r="K9" s="27">
        <f t="array" ref="K9">IF(MAX(FREQUENCY(IF(S9:AL9&gt;0,COLUMN(S9:AL9)),IF(S9:AL9&lt;=0,COLUMN(S9:AL9))))&gt;4,1,0)</f>
        <v>1</v>
      </c>
      <c r="L9" s="27"/>
      <c r="M9" s="27"/>
      <c r="N9" s="28"/>
      <c r="O9" s="28"/>
      <c r="P9" s="28"/>
      <c r="Q9" s="29">
        <f t="shared" si="2"/>
        <v>20</v>
      </c>
      <c r="R9" s="29" t="str">
        <f t="shared" si="3"/>
        <v>-Three-Star Wonder, Consistency Is Key, </v>
      </c>
      <c r="S9" s="30">
        <v>3.0</v>
      </c>
      <c r="T9" s="30">
        <v>2.0</v>
      </c>
      <c r="U9" s="30">
        <v>3.0</v>
      </c>
      <c r="V9" s="30">
        <v>3.0</v>
      </c>
      <c r="W9" s="30">
        <v>3.0</v>
      </c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33" t="s">
        <v>31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1</v>
      </c>
      <c r="K10" s="27">
        <f t="array" ref="K10">IF(MAX(FREQUENCY(IF(S10:AL10&gt;0,COLUMN(S10:AL10)),IF(S10:AL10&lt;=0,COLUMN(S10:AL10))))&gt;4,1,0)</f>
        <v>1</v>
      </c>
      <c r="L10" s="27"/>
      <c r="M10" s="27"/>
      <c r="N10" s="28"/>
      <c r="O10" s="28"/>
      <c r="P10" s="28"/>
      <c r="Q10" s="29">
        <f t="shared" si="2"/>
        <v>22</v>
      </c>
      <c r="R10" s="29" t="str">
        <f t="shared" si="3"/>
        <v>-Three-Star Wonder, Consistency Is Key, </v>
      </c>
      <c r="S10" s="30">
        <v>3.0</v>
      </c>
      <c r="T10" s="30">
        <v>3.0</v>
      </c>
      <c r="U10" s="30">
        <v>3.0</v>
      </c>
      <c r="V10" s="30">
        <v>3.0</v>
      </c>
      <c r="W10" s="30">
        <v>3.0</v>
      </c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2">
        <v>1.0</v>
      </c>
    </row>
    <row r="11" ht="14.25" customHeight="1">
      <c r="A11" s="33" t="s">
        <v>32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1</v>
      </c>
      <c r="L11" s="27"/>
      <c r="M11" s="27"/>
      <c r="N11" s="28"/>
      <c r="O11" s="28"/>
      <c r="P11" s="28"/>
      <c r="Q11" s="29">
        <f t="shared" si="2"/>
        <v>9</v>
      </c>
      <c r="R11" s="29" t="str">
        <f t="shared" si="3"/>
        <v>-Consistency Is Key, </v>
      </c>
      <c r="S11" s="30">
        <v>2.0</v>
      </c>
      <c r="T11" s="30">
        <v>1.0</v>
      </c>
      <c r="U11" s="30">
        <v>1.0</v>
      </c>
      <c r="V11" s="30">
        <v>1.0</v>
      </c>
      <c r="W11" s="30">
        <v>1.0</v>
      </c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33" t="s">
        <v>33</v>
      </c>
      <c r="B12" s="26"/>
      <c r="C12" s="26">
        <v>1.0</v>
      </c>
      <c r="D12" s="26"/>
      <c r="E12" s="26"/>
      <c r="F12" s="26"/>
      <c r="G12" s="26"/>
      <c r="H12" s="34">
        <v>1.0</v>
      </c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13</v>
      </c>
      <c r="R12" s="29" t="str">
        <f t="shared" si="3"/>
        <v>-I Say Hi, Full Combo, </v>
      </c>
      <c r="S12" s="30">
        <v>3.0</v>
      </c>
      <c r="T12" s="30">
        <v>0.0</v>
      </c>
      <c r="U12" s="30">
        <v>1.0</v>
      </c>
      <c r="V12" s="30">
        <v>3.0</v>
      </c>
      <c r="W12" s="30">
        <v>2.0</v>
      </c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33" t="s">
        <v>34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1</v>
      </c>
      <c r="L13" s="27"/>
      <c r="M13" s="27"/>
      <c r="N13" s="28"/>
      <c r="O13" s="28"/>
      <c r="P13" s="28"/>
      <c r="Q13" s="29">
        <f t="shared" si="2"/>
        <v>16</v>
      </c>
      <c r="R13" s="29" t="str">
        <f t="shared" si="3"/>
        <v>-Consistency Is Key, </v>
      </c>
      <c r="S13" s="30">
        <v>2.0</v>
      </c>
      <c r="T13" s="30">
        <v>2.0</v>
      </c>
      <c r="U13" s="30">
        <v>2.0</v>
      </c>
      <c r="V13" s="30">
        <v>3.0</v>
      </c>
      <c r="W13" s="30">
        <v>3.0</v>
      </c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>
        <v>1.0</v>
      </c>
    </row>
    <row r="14" ht="14.25" customHeight="1">
      <c r="A14" s="33" t="s">
        <v>35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1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14</v>
      </c>
      <c r="R14" s="29" t="str">
        <f t="shared" si="3"/>
        <v>-Three-Star Wonder, </v>
      </c>
      <c r="S14" s="30">
        <v>2.0</v>
      </c>
      <c r="T14" s="30">
        <v>3.0</v>
      </c>
      <c r="U14" s="30">
        <v>3.0</v>
      </c>
      <c r="V14" s="30">
        <v>3.0</v>
      </c>
      <c r="W14" s="30">
        <v>0.0</v>
      </c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33" t="s">
        <v>36</v>
      </c>
      <c r="B15" s="26"/>
      <c r="C15" s="26">
        <v>1.0</v>
      </c>
      <c r="D15" s="26"/>
      <c r="E15" s="26"/>
      <c r="F15" s="26"/>
      <c r="G15" s="26"/>
      <c r="H15" s="27"/>
      <c r="I15" s="27"/>
      <c r="J15" s="27">
        <f t="shared" si="1"/>
        <v>1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16</v>
      </c>
      <c r="R15" s="29" t="str">
        <f t="shared" si="3"/>
        <v>-I Say Hi, Three-Star Wonder, </v>
      </c>
      <c r="S15" s="30">
        <v>3.0</v>
      </c>
      <c r="T15" s="30">
        <v>3.0</v>
      </c>
      <c r="U15" s="30">
        <v>3.0</v>
      </c>
      <c r="V15" s="30">
        <v>3.0</v>
      </c>
      <c r="W15" s="30">
        <v>0.0</v>
      </c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33" t="s">
        <v>37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1</v>
      </c>
      <c r="L16" s="27"/>
      <c r="M16" s="27"/>
      <c r="N16" s="28"/>
      <c r="O16" s="28"/>
      <c r="P16" s="28"/>
      <c r="Q16" s="29">
        <f t="shared" si="2"/>
        <v>11</v>
      </c>
      <c r="R16" s="29" t="str">
        <f t="shared" si="3"/>
        <v>-Consistency Is Key, </v>
      </c>
      <c r="S16" s="30">
        <v>1.0</v>
      </c>
      <c r="T16" s="30">
        <v>1.0</v>
      </c>
      <c r="U16" s="30" t="s">
        <v>25</v>
      </c>
      <c r="V16" s="30">
        <v>3.0</v>
      </c>
      <c r="W16" s="30">
        <v>2.0</v>
      </c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33" t="s">
        <v>38</v>
      </c>
      <c r="B17" s="26"/>
      <c r="C17" s="26"/>
      <c r="D17" s="26"/>
      <c r="E17" s="26"/>
      <c r="F17" s="26"/>
      <c r="G17" s="26"/>
      <c r="H17" s="34">
        <v>1.0</v>
      </c>
      <c r="I17" s="27"/>
      <c r="J17" s="27">
        <f t="shared" si="1"/>
        <v>1</v>
      </c>
      <c r="K17" s="27">
        <f t="array" ref="K17">IF(MAX(FREQUENCY(IF(S17:AL17&gt;0,COLUMN(S17:AL17)),IF(S17:AL17&lt;=0,COLUMN(S17:AL17))))&gt;4,1,0)</f>
        <v>1</v>
      </c>
      <c r="L17" s="27"/>
      <c r="M17" s="27"/>
      <c r="N17" s="28"/>
      <c r="O17" s="28"/>
      <c r="P17" s="28"/>
      <c r="Q17" s="29">
        <f t="shared" si="2"/>
        <v>24</v>
      </c>
      <c r="R17" s="29" t="str">
        <f t="shared" si="3"/>
        <v>-Full Combo, Three-Star Wonder, Consistency Is Key, </v>
      </c>
      <c r="S17" s="30">
        <v>2.0</v>
      </c>
      <c r="T17" s="30">
        <v>3.0</v>
      </c>
      <c r="U17" s="30">
        <v>3.0</v>
      </c>
      <c r="V17" s="30">
        <v>3.0</v>
      </c>
      <c r="W17" s="30">
        <v>3.0</v>
      </c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2">
        <v>1.0</v>
      </c>
    </row>
    <row r="18" ht="14.25" customHeight="1">
      <c r="A18" s="33" t="s">
        <v>39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8</v>
      </c>
      <c r="R18" s="29" t="str">
        <f t="shared" si="3"/>
        <v>-</v>
      </c>
      <c r="S18" s="30">
        <v>3.0</v>
      </c>
      <c r="T18" s="30">
        <v>2.0</v>
      </c>
      <c r="U18" s="30">
        <v>2.0</v>
      </c>
      <c r="V18" s="30">
        <v>1.0</v>
      </c>
      <c r="W18" s="30">
        <v>0.0</v>
      </c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33" t="s">
        <v>40</v>
      </c>
      <c r="B19" s="26"/>
      <c r="C19" s="26"/>
      <c r="D19" s="26"/>
      <c r="E19" s="26"/>
      <c r="F19" s="26"/>
      <c r="G19" s="26"/>
      <c r="H19" s="34">
        <v>1.0</v>
      </c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1</v>
      </c>
      <c r="L19" s="27"/>
      <c r="M19" s="27"/>
      <c r="N19" s="28"/>
      <c r="O19" s="28"/>
      <c r="P19" s="28"/>
      <c r="Q19" s="29">
        <f t="shared" si="2"/>
        <v>16</v>
      </c>
      <c r="R19" s="29" t="str">
        <f t="shared" si="3"/>
        <v>-Full Combo, Consistency Is Key, </v>
      </c>
      <c r="S19" s="30">
        <v>2.0</v>
      </c>
      <c r="T19" s="30">
        <v>1.0</v>
      </c>
      <c r="U19" s="30">
        <v>1.0</v>
      </c>
      <c r="V19" s="30">
        <v>3.0</v>
      </c>
      <c r="W19" s="30">
        <v>3.0</v>
      </c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33" t="s">
        <v>41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2</v>
      </c>
      <c r="R20" s="29" t="str">
        <f t="shared" si="3"/>
        <v>-</v>
      </c>
      <c r="S20" s="30">
        <v>2.0</v>
      </c>
      <c r="T20" s="30">
        <v>0.0</v>
      </c>
      <c r="U20" s="30" t="s">
        <v>25</v>
      </c>
      <c r="V20" s="30">
        <v>0.0</v>
      </c>
      <c r="W20" s="30">
        <v>0.0</v>
      </c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36" t="s">
        <v>42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1</v>
      </c>
      <c r="L21" s="27"/>
      <c r="M21" s="27"/>
      <c r="N21" s="28"/>
      <c r="O21" s="28"/>
      <c r="P21" s="28"/>
      <c r="Q21" s="29">
        <f t="shared" si="2"/>
        <v>9</v>
      </c>
      <c r="R21" s="29" t="str">
        <f t="shared" si="3"/>
        <v>-Consistency Is Key, </v>
      </c>
      <c r="S21" s="30">
        <v>2.0</v>
      </c>
      <c r="T21" s="30">
        <v>2.0</v>
      </c>
      <c r="U21" s="30" t="s">
        <v>25</v>
      </c>
      <c r="V21" s="30">
        <v>1.0</v>
      </c>
      <c r="W21" s="30">
        <v>1.0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33" t="s">
        <v>43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1</v>
      </c>
      <c r="K22" s="27">
        <f t="array" ref="K22">IF(MAX(FREQUENCY(IF(S22:AL22&gt;0,COLUMN(S22:AL22)),IF(S22:AL22&lt;=0,COLUMN(S22:AL22))))&gt;4,1,0)</f>
        <v>1</v>
      </c>
      <c r="L22" s="27"/>
      <c r="M22" s="27"/>
      <c r="N22" s="28"/>
      <c r="O22" s="28"/>
      <c r="P22" s="28"/>
      <c r="Q22" s="29">
        <f t="shared" si="2"/>
        <v>18</v>
      </c>
      <c r="R22" s="29" t="str">
        <f t="shared" si="3"/>
        <v>-Three-Star Wonder, Consistency Is Key, </v>
      </c>
      <c r="S22" s="30">
        <v>1.0</v>
      </c>
      <c r="T22" s="30">
        <v>3.0</v>
      </c>
      <c r="U22" s="30">
        <v>2.0</v>
      </c>
      <c r="V22" s="30">
        <v>3.0</v>
      </c>
      <c r="W22" s="30">
        <v>3.0</v>
      </c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36" t="s">
        <v>44</v>
      </c>
      <c r="B23" s="26"/>
      <c r="C23" s="26">
        <v>1.0</v>
      </c>
      <c r="D23" s="26"/>
      <c r="E23" s="26"/>
      <c r="F23" s="26"/>
      <c r="G23" s="26"/>
      <c r="H23" s="27"/>
      <c r="I23" s="27">
        <v>1.0</v>
      </c>
      <c r="J23" s="27">
        <f t="shared" si="1"/>
        <v>1</v>
      </c>
      <c r="K23" s="27">
        <f t="array" ref="K23">IF(MAX(FREQUENCY(IF(S23:AL23&gt;0,COLUMN(S23:AL23)),IF(S23:AL23&lt;=0,COLUMN(S23:AL23))))&gt;4,1,0)</f>
        <v>1</v>
      </c>
      <c r="L23" s="27"/>
      <c r="M23" s="27"/>
      <c r="N23" s="28"/>
      <c r="O23" s="28"/>
      <c r="P23" s="28"/>
      <c r="Q23" s="29">
        <f t="shared" si="2"/>
        <v>23</v>
      </c>
      <c r="R23" s="29" t="str">
        <f t="shared" si="3"/>
        <v>-I Say Hi, Math Ambassador, Three-Star Wonder, Consistency Is Key, </v>
      </c>
      <c r="S23" s="30">
        <v>1.0</v>
      </c>
      <c r="T23" s="30">
        <v>3.0</v>
      </c>
      <c r="U23" s="30">
        <v>3.0</v>
      </c>
      <c r="V23" s="30">
        <v>3.0</v>
      </c>
      <c r="W23" s="30">
        <v>3.0</v>
      </c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B24" s="2"/>
      <c r="C24" s="3"/>
      <c r="D24" s="3"/>
      <c r="E24" s="3"/>
      <c r="F24" s="3"/>
      <c r="G24" s="3"/>
      <c r="H24" s="3"/>
      <c r="I24" s="37"/>
      <c r="J24" s="38"/>
      <c r="K24" s="38"/>
      <c r="L24" s="38"/>
      <c r="M24" s="39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7"/>
      <c r="J25" s="38"/>
      <c r="K25" s="38"/>
      <c r="L25" s="38"/>
      <c r="M25" s="39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7"/>
      <c r="J26" s="38"/>
      <c r="K26" s="38"/>
      <c r="L26" s="38"/>
      <c r="M26" s="39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7"/>
      <c r="J27" s="38"/>
      <c r="K27" s="38"/>
      <c r="L27" s="38"/>
      <c r="M27" s="39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7"/>
      <c r="J28" s="38"/>
      <c r="K28" s="38"/>
      <c r="L28" s="38"/>
      <c r="M28" s="39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7"/>
      <c r="J29" s="38"/>
      <c r="K29" s="38"/>
      <c r="L29" s="38"/>
      <c r="M29" s="39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7"/>
      <c r="J30" s="38"/>
      <c r="K30" s="38"/>
      <c r="L30" s="38"/>
      <c r="M30" s="39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7"/>
      <c r="J31" s="38"/>
      <c r="K31" s="38"/>
      <c r="L31" s="38"/>
      <c r="M31" s="39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7"/>
      <c r="J32" s="38"/>
      <c r="K32" s="38"/>
      <c r="L32" s="38"/>
      <c r="M32" s="39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7"/>
      <c r="J33" s="38"/>
      <c r="K33" s="38"/>
      <c r="L33" s="38"/>
      <c r="M33" s="39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7"/>
      <c r="J34" s="38"/>
      <c r="K34" s="38"/>
      <c r="L34" s="38"/>
      <c r="M34" s="39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7"/>
      <c r="J35" s="38"/>
      <c r="K35" s="38"/>
      <c r="L35" s="38"/>
      <c r="M35" s="39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7"/>
      <c r="J36" s="38"/>
      <c r="K36" s="38"/>
      <c r="L36" s="38"/>
      <c r="M36" s="39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7"/>
      <c r="J37" s="38"/>
      <c r="K37" s="38"/>
      <c r="L37" s="38"/>
      <c r="M37" s="39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7"/>
      <c r="J38" s="38"/>
      <c r="K38" s="38"/>
      <c r="L38" s="38"/>
      <c r="M38" s="39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7"/>
      <c r="J39" s="38"/>
      <c r="K39" s="38"/>
      <c r="L39" s="38"/>
      <c r="M39" s="39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7"/>
      <c r="J40" s="38"/>
      <c r="K40" s="38"/>
      <c r="L40" s="38"/>
      <c r="M40" s="39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7"/>
      <c r="J41" s="38"/>
      <c r="K41" s="38"/>
      <c r="L41" s="38"/>
      <c r="M41" s="39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7"/>
      <c r="J42" s="38"/>
      <c r="K42" s="38"/>
      <c r="L42" s="38"/>
      <c r="M42" s="39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7"/>
      <c r="J43" s="38"/>
      <c r="K43" s="38"/>
      <c r="L43" s="38"/>
      <c r="M43" s="39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3 Amath Data'!A4</f>
        <v>Joshua</v>
      </c>
      <c r="B2" s="1" t="str">
        <f>'Sec 3 Amath Data'!R4</f>
        <v>-Consistency Is Key, </v>
      </c>
      <c r="C2" s="1">
        <f>'Sec 3 Amath Data'!Q4</f>
        <v>14</v>
      </c>
    </row>
    <row r="3" ht="14.25" customHeight="1">
      <c r="A3" s="1" t="str">
        <f>'Sec 3 Amath Data'!A5</f>
        <v>Pin Tche</v>
      </c>
      <c r="B3" s="1" t="str">
        <f>'Sec 3 Amath Data'!R5</f>
        <v>-Three-Star Wonder, Consistency Is Key, </v>
      </c>
      <c r="C3" s="1">
        <f>'Sec 3 Amath Data'!Q5</f>
        <v>19</v>
      </c>
    </row>
    <row r="4" ht="14.25" customHeight="1">
      <c r="A4" s="1" t="str">
        <f>'Sec 3 Amath Data'!A6</f>
        <v>Jaymee</v>
      </c>
      <c r="B4" s="1" t="str">
        <f>'Sec 3 Amath Data'!R6</f>
        <v>-Three-Star Wonder, Consistency Is Key, </v>
      </c>
      <c r="C4" s="1">
        <f>'Sec 3 Amath Data'!Q6</f>
        <v>19</v>
      </c>
    </row>
    <row r="5" ht="14.25" customHeight="1">
      <c r="A5" s="1" t="str">
        <f>'Sec 3 Amath Data'!A7</f>
        <v>Jayson</v>
      </c>
      <c r="B5" s="1" t="str">
        <f>'Sec 3 Amath Data'!R7</f>
        <v>-Full Combo, Three-Star Wonder, Consistency Is Key, </v>
      </c>
      <c r="C5" s="1">
        <f>'Sec 3 Amath Data'!Q7</f>
        <v>19</v>
      </c>
    </row>
    <row r="6" ht="14.25" customHeight="1">
      <c r="A6" s="1" t="str">
        <f>'Sec 3 Amath Data'!A8</f>
        <v>Karlson</v>
      </c>
      <c r="B6" s="1" t="str">
        <f>'Sec 3 Amath Data'!R8</f>
        <v>-</v>
      </c>
      <c r="C6" s="1">
        <f>'Sec 3 Amath Data'!Q8</f>
        <v>7</v>
      </c>
    </row>
    <row r="7" ht="14.25" customHeight="1">
      <c r="A7" s="1" t="str">
        <f>'Sec 3 Amath Data'!A9</f>
        <v>Clara</v>
      </c>
      <c r="B7" s="1" t="str">
        <f>'Sec 3 Amath Data'!R9</f>
        <v>-Three-Star Wonder, Consistency Is Key, </v>
      </c>
      <c r="C7" s="1">
        <f>'Sec 3 Amath Data'!Q9</f>
        <v>20</v>
      </c>
    </row>
    <row r="8" ht="14.25" customHeight="1">
      <c r="A8" s="1" t="str">
        <f>'Sec 3 Amath Data'!A10</f>
        <v>Ryan</v>
      </c>
      <c r="B8" s="1" t="str">
        <f>'Sec 3 Amath Data'!R10</f>
        <v>-Three-Star Wonder, Consistency Is Key, </v>
      </c>
      <c r="C8" s="1">
        <f>'Sec 3 Amath Data'!Q10</f>
        <v>22</v>
      </c>
    </row>
    <row r="9" ht="14.25" customHeight="1">
      <c r="A9" s="1" t="str">
        <f>'Sec 3 Amath Data'!A11</f>
        <v>Shermaine</v>
      </c>
      <c r="B9" s="1" t="str">
        <f>'Sec 3 Amath Data'!R11</f>
        <v>-Consistency Is Key, </v>
      </c>
      <c r="C9" s="1">
        <f>'Sec 3 Amath Data'!Q11</f>
        <v>9</v>
      </c>
    </row>
    <row r="10" ht="14.25" customHeight="1">
      <c r="A10" s="1" t="str">
        <f>'Sec 3 Amath Data'!A12</f>
        <v>Yan Cheng</v>
      </c>
      <c r="B10" s="1" t="str">
        <f>'Sec 3 Amath Data'!R12</f>
        <v>-I Say Hi, Full Combo, </v>
      </c>
      <c r="C10" s="1">
        <f>'Sec 3 Amath Data'!Q12</f>
        <v>13</v>
      </c>
    </row>
    <row r="11" ht="14.25" customHeight="1">
      <c r="A11" s="1" t="str">
        <f>'Sec 3 Amath Data'!A13</f>
        <v>Ding Jie</v>
      </c>
      <c r="B11" s="1" t="str">
        <f>'Sec 3 Amath Data'!R13</f>
        <v>-Consistency Is Key, </v>
      </c>
      <c r="C11" s="1">
        <f>'Sec 3 Amath Data'!Q13</f>
        <v>16</v>
      </c>
    </row>
    <row r="12" ht="14.25" customHeight="1">
      <c r="A12" s="1" t="str">
        <f>'Sec 3 Amath Data'!A14</f>
        <v>Wei Jei</v>
      </c>
      <c r="B12" s="1" t="str">
        <f>'Sec 3 Amath Data'!R14</f>
        <v>-Three-Star Wonder, </v>
      </c>
      <c r="C12" s="1">
        <f>'Sec 3 Amath Data'!Q14</f>
        <v>14</v>
      </c>
    </row>
    <row r="13" ht="14.25" customHeight="1">
      <c r="A13" s="1" t="str">
        <f>'Sec 3 Amath Data'!A15</f>
        <v>Shi Heng</v>
      </c>
      <c r="B13" s="1" t="str">
        <f>'Sec 3 Amath Data'!R15</f>
        <v>-I Say Hi, Three-Star Wonder, </v>
      </c>
      <c r="C13" s="1">
        <f>'Sec 3 Amath Data'!Q15</f>
        <v>16</v>
      </c>
    </row>
    <row r="14" ht="14.25" customHeight="1">
      <c r="A14" s="1" t="str">
        <f>'Sec 3 Amath Data'!A16</f>
        <v>Randall</v>
      </c>
      <c r="B14" s="1" t="str">
        <f>'Sec 3 Amath Data'!R16</f>
        <v>-Consistency Is Key, </v>
      </c>
      <c r="C14" s="1">
        <f>'Sec 3 Amath Data'!Q16</f>
        <v>11</v>
      </c>
    </row>
    <row r="15" ht="14.25" customHeight="1">
      <c r="A15" s="1" t="str">
        <f>'Sec 3 Amath Data'!A17</f>
        <v>Rayner</v>
      </c>
      <c r="B15" s="1" t="str">
        <f>'Sec 3 Amath Data'!R17</f>
        <v>-Full Combo, Three-Star Wonder, Consistency Is Key, </v>
      </c>
      <c r="C15" s="1">
        <f>'Sec 3 Amath Data'!Q17</f>
        <v>24</v>
      </c>
    </row>
    <row r="16" ht="14.25" customHeight="1">
      <c r="A16" s="1" t="str">
        <f>'Sec 3 Amath Data'!A18</f>
        <v>Si Ning</v>
      </c>
      <c r="B16" s="1" t="str">
        <f>'Sec 3 Amath Data'!R18</f>
        <v>-</v>
      </c>
      <c r="C16" s="1">
        <f>'Sec 3 Amath Data'!Q18</f>
        <v>8</v>
      </c>
    </row>
    <row r="17" ht="14.25" customHeight="1">
      <c r="A17" s="1" t="str">
        <f>'Sec 3 Amath Data'!A19</f>
        <v>Colette</v>
      </c>
      <c r="B17" s="1" t="str">
        <f>'Sec 3 Amath Data'!R19</f>
        <v>-Full Combo, Consistency Is Key, </v>
      </c>
      <c r="C17" s="1">
        <f>'Sec 3 Amath Data'!Q19</f>
        <v>16</v>
      </c>
    </row>
    <row r="18" ht="14.25" customHeight="1">
      <c r="A18" s="1" t="str">
        <f>'Sec 3 Amath Data'!A20</f>
        <v>Zachary</v>
      </c>
      <c r="B18" s="1" t="str">
        <f>'Sec 3 Amath Data'!R20</f>
        <v>-</v>
      </c>
      <c r="C18" s="1">
        <f>'Sec 3 Amath Data'!Q20</f>
        <v>2</v>
      </c>
    </row>
    <row r="19" ht="14.25" customHeight="1">
      <c r="A19" s="1" t="str">
        <f>'Sec 3 Amath Data'!A21</f>
        <v>Vera</v>
      </c>
      <c r="B19" s="1" t="str">
        <f>'Sec 3 Amath Data'!R21</f>
        <v>-Consistency Is Key, </v>
      </c>
      <c r="C19" s="1">
        <f>'Sec 3 Amath Data'!Q21</f>
        <v>9</v>
      </c>
    </row>
    <row r="20" ht="14.25" customHeight="1">
      <c r="A20" s="1" t="str">
        <f>'Sec 3 Amath Data'!A22</f>
        <v>Jack</v>
      </c>
      <c r="B20" s="1" t="str">
        <f>'Sec 3 Amath Data'!R22</f>
        <v>-Three-Star Wonder, Consistency Is Key, </v>
      </c>
      <c r="C20" s="1">
        <f>'Sec 3 Amath Data'!Q22</f>
        <v>18</v>
      </c>
    </row>
    <row r="21" ht="14.25" customHeight="1">
      <c r="A21" s="1" t="str">
        <f>'Sec 3 Amath Data'!A23</f>
        <v>Xinting</v>
      </c>
      <c r="B21" s="1" t="str">
        <f>'Sec 3 Amath Data'!R23</f>
        <v>-I Say Hi, Math Ambassador, Three-Star Wonder, Consistency Is Key, </v>
      </c>
      <c r="C21" s="1">
        <f>'Sec 3 Amath Data'!Q23</f>
        <v>23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0" t="s">
        <v>47</v>
      </c>
      <c r="B4" s="26"/>
      <c r="C4" s="26"/>
      <c r="D4" s="26"/>
      <c r="E4" s="26"/>
      <c r="F4" s="26"/>
      <c r="G4" s="26"/>
      <c r="H4" s="27"/>
      <c r="I4" s="27"/>
      <c r="J4" s="27">
        <f t="shared" ref="J4:J20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0" si="2">SUM(B4:G4)+3*SUM(H4:M4)+5*SUM(N4:P4)+SUM(S4:AM4)</f>
        <v>7</v>
      </c>
      <c r="R4" s="29" t="str">
        <f t="shared" ref="R4:R20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1.0</v>
      </c>
      <c r="T4" s="30">
        <v>2.0</v>
      </c>
      <c r="U4" s="30">
        <v>2.0</v>
      </c>
      <c r="V4" s="30">
        <v>2.0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1" t="s">
        <v>48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10</v>
      </c>
      <c r="R5" s="29" t="str">
        <f t="shared" si="3"/>
        <v>-</v>
      </c>
      <c r="S5" s="30">
        <v>3.0</v>
      </c>
      <c r="T5" s="30">
        <v>1.0</v>
      </c>
      <c r="U5" s="30">
        <v>3.0</v>
      </c>
      <c r="V5" s="30">
        <v>2.0</v>
      </c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2">
        <v>1.0</v>
      </c>
    </row>
    <row r="6" ht="14.25" customHeight="1">
      <c r="A6" s="41" t="s">
        <v>49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4</v>
      </c>
      <c r="R6" s="29" t="str">
        <f t="shared" si="3"/>
        <v>-</v>
      </c>
      <c r="S6" s="30">
        <v>1.0</v>
      </c>
      <c r="T6" s="30">
        <v>1.0</v>
      </c>
      <c r="U6" s="30">
        <v>1.0</v>
      </c>
      <c r="V6" s="30">
        <v>1.0</v>
      </c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1" t="s">
        <v>50</v>
      </c>
      <c r="B7" s="26"/>
      <c r="C7" s="26"/>
      <c r="D7" s="26"/>
      <c r="E7" s="26"/>
      <c r="F7" s="42">
        <v>1.0</v>
      </c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9</v>
      </c>
      <c r="R7" s="29" t="str">
        <f t="shared" si="3"/>
        <v>-Blast to the Past, </v>
      </c>
      <c r="S7" s="30">
        <v>2.0</v>
      </c>
      <c r="T7" s="30">
        <v>1.0</v>
      </c>
      <c r="U7" s="30">
        <v>3.0</v>
      </c>
      <c r="V7" s="30">
        <v>2.0</v>
      </c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41" t="s">
        <v>31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2</v>
      </c>
      <c r="R8" s="29" t="str">
        <f t="shared" si="3"/>
        <v>-</v>
      </c>
      <c r="S8" s="30">
        <v>1.0</v>
      </c>
      <c r="T8" s="30">
        <v>0.0</v>
      </c>
      <c r="U8" s="30">
        <v>0.0</v>
      </c>
      <c r="V8" s="30">
        <v>1.0</v>
      </c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1" t="s">
        <v>51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7</v>
      </c>
      <c r="R9" s="29" t="str">
        <f t="shared" si="3"/>
        <v>-</v>
      </c>
      <c r="S9" s="30">
        <v>1.0</v>
      </c>
      <c r="T9" s="30">
        <v>0.0</v>
      </c>
      <c r="U9" s="30">
        <v>3.0</v>
      </c>
      <c r="V9" s="30">
        <v>3.0</v>
      </c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1" t="s">
        <v>52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5</v>
      </c>
      <c r="R10" s="29" t="str">
        <f t="shared" si="3"/>
        <v>-</v>
      </c>
      <c r="S10" s="30">
        <v>1.0</v>
      </c>
      <c r="T10" s="30">
        <v>1.0</v>
      </c>
      <c r="U10" s="30">
        <v>2.0</v>
      </c>
      <c r="V10" s="30">
        <v>1.0</v>
      </c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41" t="s">
        <v>53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7</v>
      </c>
      <c r="R11" s="29" t="str">
        <f t="shared" si="3"/>
        <v>-</v>
      </c>
      <c r="S11" s="30">
        <v>2.0</v>
      </c>
      <c r="T11" s="30">
        <v>1.0</v>
      </c>
      <c r="U11" s="30">
        <v>3.0</v>
      </c>
      <c r="V11" s="30">
        <v>1.0</v>
      </c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1" t="s">
        <v>54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4</v>
      </c>
      <c r="R12" s="29" t="str">
        <f t="shared" si="3"/>
        <v>-</v>
      </c>
      <c r="S12" s="30">
        <v>0.0</v>
      </c>
      <c r="T12" s="30">
        <v>0.0</v>
      </c>
      <c r="U12" s="30">
        <v>1.0</v>
      </c>
      <c r="V12" s="30">
        <v>3.0</v>
      </c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1" t="s">
        <v>55</v>
      </c>
      <c r="B13" s="26"/>
      <c r="C13" s="42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10</v>
      </c>
      <c r="R13" s="29" t="str">
        <f t="shared" si="3"/>
        <v>-I Say Hi, </v>
      </c>
      <c r="S13" s="30">
        <v>3.0</v>
      </c>
      <c r="T13" s="30">
        <v>2.0</v>
      </c>
      <c r="U13" s="30">
        <v>3.0</v>
      </c>
      <c r="V13" s="30">
        <v>1.0</v>
      </c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1" t="s">
        <v>56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9</v>
      </c>
      <c r="R14" s="29" t="str">
        <f t="shared" si="3"/>
        <v>-</v>
      </c>
      <c r="S14" s="30">
        <v>3.0</v>
      </c>
      <c r="T14" s="30">
        <v>2.0</v>
      </c>
      <c r="U14" s="30">
        <v>1.0</v>
      </c>
      <c r="V14" s="30">
        <v>3.0</v>
      </c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41" t="s">
        <v>57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3</v>
      </c>
      <c r="R15" s="29" t="str">
        <f t="shared" si="3"/>
        <v>-</v>
      </c>
      <c r="S15" s="30">
        <v>1.0</v>
      </c>
      <c r="T15" s="30">
        <v>0.0</v>
      </c>
      <c r="U15" s="30">
        <v>1.0</v>
      </c>
      <c r="V15" s="30">
        <v>1.0</v>
      </c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1" t="s">
        <v>58</v>
      </c>
      <c r="B16" s="26"/>
      <c r="C16" s="42">
        <v>1.0</v>
      </c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34"/>
      <c r="M16" s="27"/>
      <c r="N16" s="28"/>
      <c r="O16" s="28"/>
      <c r="P16" s="28"/>
      <c r="Q16" s="29">
        <f t="shared" si="2"/>
        <v>12</v>
      </c>
      <c r="R16" s="29" t="str">
        <f t="shared" si="3"/>
        <v>-I Say Hi, </v>
      </c>
      <c r="S16" s="30">
        <v>2.0</v>
      </c>
      <c r="T16" s="30">
        <v>2.0</v>
      </c>
      <c r="U16" s="30">
        <v>3.0</v>
      </c>
      <c r="V16" s="30">
        <v>3.0</v>
      </c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41" t="s">
        <v>59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5</v>
      </c>
      <c r="R17" s="29" t="str">
        <f t="shared" si="3"/>
        <v>-</v>
      </c>
      <c r="S17" s="30">
        <v>1.0</v>
      </c>
      <c r="T17" s="30">
        <v>1.0</v>
      </c>
      <c r="U17" s="30">
        <v>2.0</v>
      </c>
      <c r="V17" s="30">
        <v>1.0</v>
      </c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1" t="s">
        <v>60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6</v>
      </c>
      <c r="R18" s="29" t="str">
        <f t="shared" si="3"/>
        <v>-</v>
      </c>
      <c r="S18" s="30">
        <v>1.0</v>
      </c>
      <c r="T18" s="30">
        <v>2.0</v>
      </c>
      <c r="U18" s="30">
        <v>1.0</v>
      </c>
      <c r="V18" s="30">
        <v>2.0</v>
      </c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1" t="s">
        <v>61</v>
      </c>
      <c r="B19" s="26"/>
      <c r="C19" s="26"/>
      <c r="D19" s="26"/>
      <c r="E19" s="26"/>
      <c r="F19" s="26"/>
      <c r="G19" s="26"/>
      <c r="H19" s="27"/>
      <c r="I19" s="27">
        <v>1.0</v>
      </c>
      <c r="J19" s="27">
        <f t="shared" si="1"/>
        <v>1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18</v>
      </c>
      <c r="R19" s="29" t="str">
        <f t="shared" si="3"/>
        <v>-Math Ambassador, Three-Star Wonder, </v>
      </c>
      <c r="S19" s="30">
        <v>3.0</v>
      </c>
      <c r="T19" s="30">
        <v>3.0</v>
      </c>
      <c r="U19" s="30">
        <v>3.0</v>
      </c>
      <c r="V19" s="30">
        <v>3.0</v>
      </c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1" t="s">
        <v>62</v>
      </c>
      <c r="B20" s="26"/>
      <c r="C20" s="42">
        <v>1.0</v>
      </c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9</v>
      </c>
      <c r="R20" s="29" t="str">
        <f t="shared" si="3"/>
        <v>-I Say Hi, </v>
      </c>
      <c r="S20" s="30">
        <v>1.0</v>
      </c>
      <c r="T20" s="30">
        <v>2.0</v>
      </c>
      <c r="U20" s="30">
        <v>2.0</v>
      </c>
      <c r="V20" s="30">
        <v>3.0</v>
      </c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B21" s="2"/>
      <c r="C21" s="3"/>
      <c r="D21" s="3"/>
      <c r="E21" s="3"/>
      <c r="F21" s="3"/>
      <c r="G21" s="3"/>
      <c r="H21" s="3"/>
      <c r="I21" s="37"/>
      <c r="J21" s="38"/>
      <c r="K21" s="38"/>
      <c r="L21" s="38"/>
      <c r="M21" s="39"/>
      <c r="N21" s="7"/>
      <c r="O21" s="7"/>
      <c r="P21" s="7"/>
      <c r="Q21" s="8"/>
      <c r="R21" s="9"/>
      <c r="S21" s="10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2"/>
    </row>
    <row r="22" ht="14.25" customHeight="1">
      <c r="B22" s="2"/>
      <c r="C22" s="3"/>
      <c r="D22" s="3"/>
      <c r="E22" s="3"/>
      <c r="F22" s="3"/>
      <c r="G22" s="3"/>
      <c r="H22" s="3"/>
      <c r="I22" s="37"/>
      <c r="J22" s="38"/>
      <c r="K22" s="38"/>
      <c r="L22" s="38"/>
      <c r="M22" s="39"/>
      <c r="N22" s="7"/>
      <c r="O22" s="7"/>
      <c r="P22" s="7"/>
      <c r="Q22" s="8"/>
      <c r="R22" s="9"/>
      <c r="S22" s="10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ht="14.25" customHeight="1">
      <c r="B23" s="2"/>
      <c r="C23" s="3"/>
      <c r="D23" s="3"/>
      <c r="E23" s="3"/>
      <c r="F23" s="3"/>
      <c r="G23" s="3"/>
      <c r="H23" s="3"/>
      <c r="I23" s="37"/>
      <c r="J23" s="38"/>
      <c r="K23" s="38"/>
      <c r="L23" s="38"/>
      <c r="M23" s="39"/>
      <c r="N23" s="7"/>
      <c r="O23" s="7"/>
      <c r="P23" s="7"/>
      <c r="Q23" s="8"/>
      <c r="R23" s="9"/>
      <c r="S23" s="10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2"/>
    </row>
    <row r="24" ht="14.25" customHeight="1">
      <c r="B24" s="2"/>
      <c r="C24" s="3"/>
      <c r="D24" s="3"/>
      <c r="E24" s="3"/>
      <c r="F24" s="3"/>
      <c r="G24" s="3"/>
      <c r="H24" s="3"/>
      <c r="I24" s="37"/>
      <c r="J24" s="38"/>
      <c r="K24" s="38"/>
      <c r="L24" s="38"/>
      <c r="M24" s="39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7"/>
      <c r="J25" s="38"/>
      <c r="K25" s="38"/>
      <c r="L25" s="38"/>
      <c r="M25" s="39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7"/>
      <c r="J26" s="38"/>
      <c r="K26" s="38"/>
      <c r="L26" s="38"/>
      <c r="M26" s="39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7"/>
      <c r="J27" s="38"/>
      <c r="K27" s="38"/>
      <c r="L27" s="38"/>
      <c r="M27" s="39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7"/>
      <c r="J28" s="38"/>
      <c r="K28" s="38"/>
      <c r="L28" s="38"/>
      <c r="M28" s="39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7"/>
      <c r="J29" s="38"/>
      <c r="K29" s="38"/>
      <c r="L29" s="38"/>
      <c r="M29" s="39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7"/>
      <c r="J30" s="38"/>
      <c r="K30" s="38"/>
      <c r="L30" s="38"/>
      <c r="M30" s="39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7"/>
      <c r="J31" s="38"/>
      <c r="K31" s="38"/>
      <c r="L31" s="38"/>
      <c r="M31" s="39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7"/>
      <c r="J32" s="38"/>
      <c r="K32" s="38"/>
      <c r="L32" s="38"/>
      <c r="M32" s="39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7"/>
      <c r="J33" s="38"/>
      <c r="K33" s="38"/>
      <c r="L33" s="38"/>
      <c r="M33" s="39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7"/>
      <c r="J34" s="38"/>
      <c r="K34" s="38"/>
      <c r="L34" s="38"/>
      <c r="M34" s="39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7"/>
      <c r="J35" s="38"/>
      <c r="K35" s="38"/>
      <c r="L35" s="38"/>
      <c r="M35" s="39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7"/>
      <c r="J36" s="38"/>
      <c r="K36" s="38"/>
      <c r="L36" s="38"/>
      <c r="M36" s="39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7"/>
      <c r="J37" s="38"/>
      <c r="K37" s="38"/>
      <c r="L37" s="38"/>
      <c r="M37" s="39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7"/>
      <c r="J38" s="38"/>
      <c r="K38" s="38"/>
      <c r="L38" s="38"/>
      <c r="M38" s="39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7"/>
      <c r="J39" s="38"/>
      <c r="K39" s="38"/>
      <c r="L39" s="38"/>
      <c r="M39" s="39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7"/>
      <c r="J40" s="38"/>
      <c r="K40" s="38"/>
      <c r="L40" s="38"/>
      <c r="M40" s="39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7"/>
      <c r="J41" s="38"/>
      <c r="K41" s="38"/>
      <c r="L41" s="38"/>
      <c r="M41" s="39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7"/>
      <c r="J42" s="38"/>
      <c r="K42" s="38"/>
      <c r="L42" s="38"/>
      <c r="M42" s="39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7"/>
      <c r="J43" s="38"/>
      <c r="K43" s="38"/>
      <c r="L43" s="38"/>
      <c r="M43" s="39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2 G2 Data'!A4</f>
        <v>Daniel</v>
      </c>
      <c r="B2" s="1" t="str">
        <f>'Sec 2 G2 Data'!R4</f>
        <v>-</v>
      </c>
      <c r="C2" s="1">
        <f>'Sec 2 G2 Data'!Q4</f>
        <v>7</v>
      </c>
    </row>
    <row r="3" ht="14.25" customHeight="1">
      <c r="A3" s="1" t="str">
        <f>'Sec 2 G2 Data'!A5</f>
        <v>Ming Hao</v>
      </c>
      <c r="B3" s="1" t="str">
        <f>'Sec 2 G2 Data'!R5</f>
        <v>-</v>
      </c>
      <c r="C3" s="1">
        <f>'Sec 2 G2 Data'!Q5</f>
        <v>10</v>
      </c>
    </row>
    <row r="4" ht="14.25" customHeight="1">
      <c r="A4" s="1" t="str">
        <f>'Sec 2 G2 Data'!A6</f>
        <v>En Yue</v>
      </c>
      <c r="B4" s="1" t="str">
        <f>'Sec 2 G2 Data'!R6</f>
        <v>-</v>
      </c>
      <c r="C4" s="1">
        <f>'Sec 2 G2 Data'!Q6</f>
        <v>4</v>
      </c>
    </row>
    <row r="5" ht="14.25" customHeight="1">
      <c r="A5" s="1" t="str">
        <f>'Sec 2 G2 Data'!A7</f>
        <v>En Hui</v>
      </c>
      <c r="B5" s="1" t="str">
        <f>'Sec 2 G2 Data'!R7</f>
        <v>-Blast to the Past, </v>
      </c>
      <c r="C5" s="1">
        <f>'Sec 2 G2 Data'!Q7</f>
        <v>9</v>
      </c>
    </row>
    <row r="6" ht="14.25" customHeight="1">
      <c r="A6" s="1" t="str">
        <f>'Sec 2 G2 Data'!A8</f>
        <v>Ryan</v>
      </c>
      <c r="B6" s="1" t="str">
        <f>'Sec 2 G2 Data'!R8</f>
        <v>-</v>
      </c>
      <c r="C6" s="1">
        <f>'Sec 2 G2 Data'!Q8</f>
        <v>2</v>
      </c>
    </row>
    <row r="7" ht="14.25" customHeight="1">
      <c r="A7" s="1" t="str">
        <f>'Sec 2 G2 Data'!A9</f>
        <v>Reza</v>
      </c>
      <c r="B7" s="1" t="str">
        <f>'Sec 2 G2 Data'!R9</f>
        <v>-</v>
      </c>
      <c r="C7" s="1">
        <f>'Sec 2 G2 Data'!Q9</f>
        <v>7</v>
      </c>
    </row>
    <row r="8" ht="14.25" customHeight="1">
      <c r="A8" s="1" t="str">
        <f>'Sec 2 G2 Data'!A10</f>
        <v>Verlene</v>
      </c>
      <c r="B8" s="1" t="str">
        <f>'Sec 2 G2 Data'!R10</f>
        <v>-</v>
      </c>
      <c r="C8" s="1">
        <f>'Sec 2 G2 Data'!Q10</f>
        <v>5</v>
      </c>
    </row>
    <row r="9" ht="14.25" customHeight="1">
      <c r="A9" s="1" t="str">
        <f>'Sec 2 G2 Data'!A11</f>
        <v>Vivian</v>
      </c>
      <c r="B9" s="1" t="str">
        <f>'Sec 2 G2 Data'!R11</f>
        <v>-</v>
      </c>
      <c r="C9" s="1">
        <f>'Sec 2 G2 Data'!Q11</f>
        <v>7</v>
      </c>
    </row>
    <row r="10" ht="14.25" customHeight="1">
      <c r="A10" s="1" t="str">
        <f>'Sec 2 G2 Data'!A12</f>
        <v>Naladriel</v>
      </c>
      <c r="B10" s="1" t="str">
        <f>'Sec 2 G2 Data'!R12</f>
        <v>-</v>
      </c>
      <c r="C10" s="1">
        <f>'Sec 2 G2 Data'!Q12</f>
        <v>4</v>
      </c>
    </row>
    <row r="11" ht="14.25" customHeight="1">
      <c r="A11" s="1" t="str">
        <f>'Sec 2 G2 Data'!A13</f>
        <v>Chloe</v>
      </c>
      <c r="B11" s="1" t="str">
        <f>'Sec 2 G2 Data'!R13</f>
        <v>-I Say Hi, </v>
      </c>
      <c r="C11" s="1">
        <f>'Sec 2 G2 Data'!Q13</f>
        <v>10</v>
      </c>
    </row>
    <row r="12" ht="14.25" customHeight="1">
      <c r="A12" s="1" t="str">
        <f>'Sec 2 G2 Data'!A14</f>
        <v>Emma</v>
      </c>
      <c r="B12" s="1" t="str">
        <f>'Sec 2 G2 Data'!R14</f>
        <v>-</v>
      </c>
      <c r="C12" s="1">
        <f>'Sec 2 G2 Data'!Q14</f>
        <v>9</v>
      </c>
    </row>
    <row r="13" ht="14.25" customHeight="1">
      <c r="A13" s="1" t="str">
        <f>'Sec 2 G2 Data'!A15</f>
        <v>Darius</v>
      </c>
      <c r="B13" s="1" t="str">
        <f>'Sec 2 G2 Data'!R15</f>
        <v>-</v>
      </c>
      <c r="C13" s="1">
        <f>'Sec 2 G2 Data'!Q15</f>
        <v>3</v>
      </c>
    </row>
    <row r="14" ht="14.25" customHeight="1">
      <c r="A14" s="1" t="str">
        <f>'Sec 2 G2 Data'!A16</f>
        <v>Jing Xuan</v>
      </c>
      <c r="B14" s="1" t="str">
        <f>'Sec 2 G2 Data'!R16</f>
        <v>-I Say Hi, </v>
      </c>
      <c r="C14" s="1">
        <f>'Sec 2 G2 Data'!Q16</f>
        <v>12</v>
      </c>
    </row>
    <row r="15" ht="14.25" customHeight="1">
      <c r="A15" s="1" t="str">
        <f>'Sec 2 G2 Data'!A17</f>
        <v>Jesserina</v>
      </c>
      <c r="B15" s="1" t="str">
        <f>'Sec 2 G2 Data'!R17</f>
        <v>-</v>
      </c>
      <c r="C15" s="1">
        <f>'Sec 2 G2 Data'!Q17</f>
        <v>5</v>
      </c>
    </row>
    <row r="16" ht="14.25" customHeight="1">
      <c r="A16" s="1" t="str">
        <f>'Sec 2 G2 Data'!A18</f>
        <v>Jenelle</v>
      </c>
      <c r="B16" s="1" t="str">
        <f>'Sec 2 G2 Data'!R18</f>
        <v>-</v>
      </c>
      <c r="C16" s="1">
        <f>'Sec 2 G2 Data'!Q18</f>
        <v>6</v>
      </c>
    </row>
    <row r="17" ht="14.25" customHeight="1">
      <c r="A17" s="1" t="str">
        <f>'Sec 2 G2 Data'!A19</f>
        <v>Lerynn</v>
      </c>
      <c r="B17" s="1" t="str">
        <f>'Sec 2 G2 Data'!R19</f>
        <v>-Math Ambassador, Three-Star Wonder, </v>
      </c>
      <c r="C17" s="1">
        <f>'Sec 2 G2 Data'!Q19</f>
        <v>18</v>
      </c>
    </row>
    <row r="18" ht="14.25" customHeight="1">
      <c r="A18" s="1" t="str">
        <f>'Sec 2 G2 Data'!A20</f>
        <v>Trevor</v>
      </c>
      <c r="B18" s="1" t="str">
        <f>'Sec 2 G2 Data'!R20</f>
        <v>-I Say Hi, </v>
      </c>
      <c r="C18" s="1">
        <f>'Sec 2 G2 Data'!Q20</f>
        <v>9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40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3" t="s">
        <v>63</v>
      </c>
      <c r="B4" s="26"/>
      <c r="C4" s="26"/>
      <c r="D4" s="26"/>
      <c r="E4" s="26"/>
      <c r="F4" s="26"/>
      <c r="G4" s="26"/>
      <c r="H4" s="27"/>
      <c r="I4" s="27"/>
      <c r="J4" s="27">
        <f t="shared" ref="J4:J43" si="1">IF(COUNTIF(S4:AL4,"&gt;=3")&gt;=3,1,0)</f>
        <v>0</v>
      </c>
      <c r="K4" s="27">
        <f t="array" ref="K4">IF(MAX(FREQUENCY(IF(S4:AL4&gt;0,COLUMN(S4:AL4)),IF(S4:AL4&lt;=0,COLUMN(S4:AL4))))&gt;4,1,0)</f>
        <v>1</v>
      </c>
      <c r="L4" s="27"/>
      <c r="M4" s="27"/>
      <c r="N4" s="28"/>
      <c r="O4" s="28"/>
      <c r="P4" s="28"/>
      <c r="Q4" s="29">
        <f t="shared" ref="Q4:Q43" si="2">SUM(B4:G4)+3*SUM(H4:M4)+5*SUM(N4:P4)+SUM(S4:AM4)</f>
        <v>12</v>
      </c>
      <c r="R4" s="29" t="str">
        <f t="shared" ref="R4:R4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-Consistency Is Key, </v>
      </c>
      <c r="S4" s="30">
        <v>2.0</v>
      </c>
      <c r="T4" s="30">
        <v>3.0</v>
      </c>
      <c r="U4" s="30">
        <v>1.0</v>
      </c>
      <c r="V4" s="30">
        <v>2.0</v>
      </c>
      <c r="W4" s="30">
        <v>1.0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1">
        <v>0.0</v>
      </c>
    </row>
    <row r="5" ht="14.25" customHeight="1">
      <c r="A5" s="44" t="s">
        <v>64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8</v>
      </c>
      <c r="R5" s="29" t="str">
        <f t="shared" si="3"/>
        <v>-</v>
      </c>
      <c r="S5" s="30">
        <v>2.0</v>
      </c>
      <c r="T5" s="30">
        <v>2.0</v>
      </c>
      <c r="U5" s="30">
        <v>2.0</v>
      </c>
      <c r="V5" s="30">
        <v>1.0</v>
      </c>
      <c r="W5" s="30">
        <v>0.0</v>
      </c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1">
        <v>1.0</v>
      </c>
    </row>
    <row r="6" ht="14.25" customHeight="1">
      <c r="A6" s="44" t="s">
        <v>65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10</v>
      </c>
      <c r="R6" s="29" t="str">
        <f t="shared" si="3"/>
        <v>-</v>
      </c>
      <c r="S6" s="30">
        <v>2.0</v>
      </c>
      <c r="T6" s="30">
        <v>3.0</v>
      </c>
      <c r="U6" s="30">
        <v>1.0</v>
      </c>
      <c r="V6" s="30">
        <v>3.0</v>
      </c>
      <c r="W6" s="30">
        <v>0.0</v>
      </c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1">
        <v>1.0</v>
      </c>
    </row>
    <row r="7" ht="14.25" customHeight="1">
      <c r="A7" s="44" t="s">
        <v>66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1</v>
      </c>
      <c r="L7" s="27"/>
      <c r="M7" s="27"/>
      <c r="N7" s="28"/>
      <c r="O7" s="28"/>
      <c r="P7" s="28"/>
      <c r="Q7" s="29">
        <f t="shared" si="2"/>
        <v>15</v>
      </c>
      <c r="R7" s="29" t="str">
        <f t="shared" si="3"/>
        <v>-Consistency Is Key, </v>
      </c>
      <c r="S7" s="30">
        <v>3.0</v>
      </c>
      <c r="T7" s="30">
        <v>2.0</v>
      </c>
      <c r="U7" s="30">
        <v>1.0</v>
      </c>
      <c r="V7" s="30">
        <v>2.0</v>
      </c>
      <c r="W7" s="30">
        <v>3.0</v>
      </c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1">
        <v>1.0</v>
      </c>
    </row>
    <row r="8" ht="14.25" customHeight="1">
      <c r="A8" s="44" t="s">
        <v>67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1</v>
      </c>
      <c r="K8" s="27">
        <f t="array" ref="K8">IF(MAX(FREQUENCY(IF(S8:AL8&gt;0,COLUMN(S8:AL8)),IF(S8:AL8&lt;=0,COLUMN(S8:AL8))))&gt;4,1,0)</f>
        <v>1</v>
      </c>
      <c r="L8" s="27"/>
      <c r="M8" s="27"/>
      <c r="N8" s="28"/>
      <c r="O8" s="28"/>
      <c r="P8" s="28"/>
      <c r="Q8" s="29">
        <f t="shared" si="2"/>
        <v>18</v>
      </c>
      <c r="R8" s="29" t="str">
        <f t="shared" si="3"/>
        <v>-Three-Star Wonder, Consistency Is Key, </v>
      </c>
      <c r="S8" s="30">
        <v>4.0</v>
      </c>
      <c r="T8" s="30">
        <v>1.0</v>
      </c>
      <c r="U8" s="30">
        <v>1.0</v>
      </c>
      <c r="V8" s="30">
        <v>3.0</v>
      </c>
      <c r="W8" s="30">
        <v>3.0</v>
      </c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1">
        <v>0.0</v>
      </c>
    </row>
    <row r="9" ht="14.25" customHeight="1">
      <c r="A9" s="44" t="s">
        <v>68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1</v>
      </c>
      <c r="L9" s="27"/>
      <c r="M9" s="27"/>
      <c r="N9" s="28"/>
      <c r="O9" s="28"/>
      <c r="P9" s="28"/>
      <c r="Q9" s="29">
        <f t="shared" si="2"/>
        <v>15</v>
      </c>
      <c r="R9" s="29" t="str">
        <f t="shared" si="3"/>
        <v>-Consistency Is Key, </v>
      </c>
      <c r="S9" s="30">
        <v>3.0</v>
      </c>
      <c r="T9" s="30">
        <v>3.0</v>
      </c>
      <c r="U9" s="30">
        <v>2.0</v>
      </c>
      <c r="V9" s="30">
        <v>1.0</v>
      </c>
      <c r="W9" s="30">
        <v>2.0</v>
      </c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1">
        <v>1.0</v>
      </c>
    </row>
    <row r="10" ht="14.25" customHeight="1">
      <c r="A10" s="44" t="s">
        <v>69</v>
      </c>
      <c r="B10" s="26"/>
      <c r="C10" s="26">
        <v>1.0</v>
      </c>
      <c r="D10" s="26"/>
      <c r="E10" s="26"/>
      <c r="F10" s="26"/>
      <c r="G10" s="26"/>
      <c r="H10" s="27"/>
      <c r="I10" s="27"/>
      <c r="J10" s="27">
        <f t="shared" si="1"/>
        <v>1</v>
      </c>
      <c r="K10" s="27">
        <f t="array" ref="K10">IF(MAX(FREQUENCY(IF(S10:AL10&gt;0,COLUMN(S10:AL10)),IF(S10:AL10&lt;=0,COLUMN(S10:AL10))))&gt;4,1,0)</f>
        <v>1</v>
      </c>
      <c r="L10" s="27"/>
      <c r="M10" s="27"/>
      <c r="N10" s="28"/>
      <c r="O10" s="28"/>
      <c r="P10" s="28"/>
      <c r="Q10" s="29">
        <f t="shared" si="2"/>
        <v>25</v>
      </c>
      <c r="R10" s="29" t="str">
        <f t="shared" si="3"/>
        <v>-I Say Hi, Three-Star Wonder, Consistency Is Key, </v>
      </c>
      <c r="S10" s="30">
        <v>4.0</v>
      </c>
      <c r="T10" s="30">
        <v>3.0</v>
      </c>
      <c r="U10" s="30">
        <v>3.0</v>
      </c>
      <c r="V10" s="30">
        <v>3.0</v>
      </c>
      <c r="W10" s="30">
        <v>3.0</v>
      </c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45">
        <v>2.0</v>
      </c>
    </row>
    <row r="11" ht="14.25" customHeight="1">
      <c r="A11" s="44" t="s">
        <v>70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1</v>
      </c>
      <c r="L11" s="27"/>
      <c r="M11" s="27"/>
      <c r="N11" s="28"/>
      <c r="O11" s="28"/>
      <c r="P11" s="28"/>
      <c r="Q11" s="29">
        <f t="shared" si="2"/>
        <v>13</v>
      </c>
      <c r="R11" s="29" t="str">
        <f t="shared" si="3"/>
        <v>-Consistency Is Key, </v>
      </c>
      <c r="S11" s="30">
        <v>2.0</v>
      </c>
      <c r="T11" s="30">
        <v>2.0</v>
      </c>
      <c r="U11" s="30">
        <v>1.0</v>
      </c>
      <c r="V11" s="30">
        <v>3.0</v>
      </c>
      <c r="W11" s="30">
        <v>2.0</v>
      </c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1">
        <v>0.0</v>
      </c>
    </row>
    <row r="12" ht="14.25" customHeight="1">
      <c r="A12" s="44" t="s">
        <v>71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1</v>
      </c>
      <c r="L12" s="27"/>
      <c r="M12" s="27"/>
      <c r="N12" s="28"/>
      <c r="O12" s="28"/>
      <c r="P12" s="28"/>
      <c r="Q12" s="29">
        <f t="shared" si="2"/>
        <v>14</v>
      </c>
      <c r="R12" s="29" t="str">
        <f t="shared" si="3"/>
        <v>-Consistency Is Key, </v>
      </c>
      <c r="S12" s="30">
        <v>2.0</v>
      </c>
      <c r="T12" s="30">
        <v>2.0</v>
      </c>
      <c r="U12" s="30">
        <v>1.0</v>
      </c>
      <c r="V12" s="30">
        <v>3.0</v>
      </c>
      <c r="W12" s="30">
        <v>3.0</v>
      </c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1">
        <v>0.0</v>
      </c>
    </row>
    <row r="13" ht="14.25" customHeight="1">
      <c r="A13" s="44" t="s">
        <v>53</v>
      </c>
      <c r="B13" s="26"/>
      <c r="C13" s="26">
        <v>1.0</v>
      </c>
      <c r="D13" s="26"/>
      <c r="E13" s="26"/>
      <c r="F13" s="26"/>
      <c r="G13" s="26"/>
      <c r="H13" s="27"/>
      <c r="I13" s="27"/>
      <c r="J13" s="27">
        <f t="shared" si="1"/>
        <v>1</v>
      </c>
      <c r="K13" s="27">
        <f t="array" ref="K13">IF(MAX(FREQUENCY(IF(S13:AL13&gt;0,COLUMN(S13:AL13)),IF(S13:AL13&lt;=0,COLUMN(S13:AL13))))&gt;4,1,0)</f>
        <v>1</v>
      </c>
      <c r="L13" s="27"/>
      <c r="M13" s="27"/>
      <c r="N13" s="28"/>
      <c r="O13" s="28"/>
      <c r="P13" s="28"/>
      <c r="Q13" s="29">
        <f t="shared" si="2"/>
        <v>19</v>
      </c>
      <c r="R13" s="29" t="str">
        <f t="shared" si="3"/>
        <v>-I Say Hi, Three-Star Wonder, Consistency Is Key, </v>
      </c>
      <c r="S13" s="30">
        <v>3.0</v>
      </c>
      <c r="T13" s="30">
        <v>3.0</v>
      </c>
      <c r="U13" s="30">
        <v>1.0</v>
      </c>
      <c r="V13" s="30">
        <v>3.0</v>
      </c>
      <c r="W13" s="30">
        <v>2.0</v>
      </c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1">
        <v>0.0</v>
      </c>
    </row>
    <row r="14" ht="14.25" customHeight="1">
      <c r="A14" s="44" t="s">
        <v>72</v>
      </c>
      <c r="B14" s="26"/>
      <c r="C14" s="26">
        <v>1.0</v>
      </c>
      <c r="D14" s="26"/>
      <c r="E14" s="26"/>
      <c r="F14" s="26"/>
      <c r="G14" s="26"/>
      <c r="H14" s="34">
        <v>1.0</v>
      </c>
      <c r="I14" s="27">
        <v>1.0</v>
      </c>
      <c r="J14" s="27">
        <f t="shared" si="1"/>
        <v>1</v>
      </c>
      <c r="K14" s="27">
        <f t="array" ref="K14">IF(MAX(FREQUENCY(IF(S14:AL14&gt;0,COLUMN(S14:AL14)),IF(S14:AL14&lt;=0,COLUMN(S14:AL14))))&gt;4,1,0)</f>
        <v>1</v>
      </c>
      <c r="L14" s="27"/>
      <c r="M14" s="27"/>
      <c r="N14" s="28"/>
      <c r="O14" s="28"/>
      <c r="P14" s="46">
        <v>1.0</v>
      </c>
      <c r="Q14" s="29">
        <f t="shared" si="2"/>
        <v>34</v>
      </c>
      <c r="R14" s="29" t="str">
        <f t="shared" si="3"/>
        <v>-I Say Hi, Full Combo, Math Ambassador, Three-Star Wonder, Consistency Is Key, Math Genius, </v>
      </c>
      <c r="S14" s="30">
        <v>4.0</v>
      </c>
      <c r="T14" s="30">
        <v>3.0</v>
      </c>
      <c r="U14" s="30">
        <v>3.0</v>
      </c>
      <c r="V14" s="30">
        <v>3.0</v>
      </c>
      <c r="W14" s="30">
        <v>3.0</v>
      </c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1">
        <v>0.0</v>
      </c>
    </row>
    <row r="15" ht="14.25" customHeight="1">
      <c r="A15" s="44" t="s">
        <v>73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1</v>
      </c>
      <c r="K15" s="27">
        <f t="array" ref="K15">IF(MAX(FREQUENCY(IF(S15:AL15&gt;0,COLUMN(S15:AL15)),IF(S15:AL15&lt;=0,COLUMN(S15:AL15))))&gt;4,1,0)</f>
        <v>1</v>
      </c>
      <c r="L15" s="27"/>
      <c r="M15" s="27"/>
      <c r="N15" s="28"/>
      <c r="O15" s="28"/>
      <c r="P15" s="28"/>
      <c r="Q15" s="29">
        <f t="shared" si="2"/>
        <v>2</v>
      </c>
      <c r="R15" s="29" t="str">
        <f t="shared" si="3"/>
        <v>-Three-Star Wonder, Consistency Is Key, </v>
      </c>
      <c r="S15" s="30">
        <v>4.0</v>
      </c>
      <c r="T15" s="30">
        <v>3.0</v>
      </c>
      <c r="U15" s="30">
        <v>3.0</v>
      </c>
      <c r="V15" s="30">
        <v>3.0</v>
      </c>
      <c r="W15" s="30">
        <v>2.0</v>
      </c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45">
        <v>-19.0</v>
      </c>
    </row>
    <row r="16" ht="14.25" customHeight="1">
      <c r="A16" s="44" t="s">
        <v>74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1</v>
      </c>
      <c r="L16" s="27"/>
      <c r="M16" s="27"/>
      <c r="N16" s="28"/>
      <c r="O16" s="28"/>
      <c r="P16" s="28"/>
      <c r="Q16" s="29">
        <f t="shared" si="2"/>
        <v>13</v>
      </c>
      <c r="R16" s="29" t="str">
        <f t="shared" si="3"/>
        <v>-Consistency Is Key, </v>
      </c>
      <c r="S16" s="30">
        <v>2.0</v>
      </c>
      <c r="T16" s="30">
        <v>3.0</v>
      </c>
      <c r="U16" s="30">
        <v>1.0</v>
      </c>
      <c r="V16" s="30">
        <v>2.0</v>
      </c>
      <c r="W16" s="30">
        <v>1.0</v>
      </c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1">
        <v>1.0</v>
      </c>
    </row>
    <row r="17" ht="14.25" customHeight="1">
      <c r="A17" s="44" t="s">
        <v>75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1</v>
      </c>
      <c r="L17" s="27"/>
      <c r="M17" s="27"/>
      <c r="N17" s="28"/>
      <c r="O17" s="28"/>
      <c r="P17" s="28"/>
      <c r="Q17" s="29">
        <f t="shared" si="2"/>
        <v>14</v>
      </c>
      <c r="R17" s="29" t="str">
        <f t="shared" si="3"/>
        <v>-Consistency Is Key, </v>
      </c>
      <c r="S17" s="30">
        <v>2.0</v>
      </c>
      <c r="T17" s="30">
        <v>2.0</v>
      </c>
      <c r="U17" s="30">
        <v>1.0</v>
      </c>
      <c r="V17" s="30">
        <v>3.0</v>
      </c>
      <c r="W17" s="30">
        <v>3.0</v>
      </c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1">
        <v>0.0</v>
      </c>
    </row>
    <row r="18" ht="14.25" customHeight="1">
      <c r="A18" s="44" t="s">
        <v>76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1</v>
      </c>
      <c r="L18" s="27"/>
      <c r="M18" s="27"/>
      <c r="N18" s="28"/>
      <c r="O18" s="28"/>
      <c r="P18" s="28"/>
      <c r="Q18" s="29">
        <f t="shared" si="2"/>
        <v>14</v>
      </c>
      <c r="R18" s="29" t="str">
        <f t="shared" si="3"/>
        <v>-Consistency Is Key, </v>
      </c>
      <c r="S18" s="30">
        <v>3.0</v>
      </c>
      <c r="T18" s="30">
        <v>2.0</v>
      </c>
      <c r="U18" s="30">
        <v>1.0</v>
      </c>
      <c r="V18" s="30">
        <v>2.0</v>
      </c>
      <c r="W18" s="30">
        <v>3.0</v>
      </c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1">
        <v>0.0</v>
      </c>
    </row>
    <row r="19" ht="14.25" customHeight="1">
      <c r="A19" s="44" t="s">
        <v>77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1</v>
      </c>
      <c r="L19" s="27"/>
      <c r="M19" s="27"/>
      <c r="N19" s="28"/>
      <c r="O19" s="28"/>
      <c r="P19" s="28"/>
      <c r="Q19" s="29">
        <f t="shared" si="2"/>
        <v>12</v>
      </c>
      <c r="R19" s="29" t="str">
        <f t="shared" si="3"/>
        <v>-Consistency Is Key, </v>
      </c>
      <c r="S19" s="30">
        <v>2.0</v>
      </c>
      <c r="T19" s="30">
        <v>2.0</v>
      </c>
      <c r="U19" s="30">
        <v>1.0</v>
      </c>
      <c r="V19" s="30">
        <v>2.0</v>
      </c>
      <c r="W19" s="30">
        <v>2.0</v>
      </c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1">
        <v>0.0</v>
      </c>
    </row>
    <row r="20" ht="14.25" customHeight="1">
      <c r="A20" s="44" t="s">
        <v>78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1</v>
      </c>
      <c r="L20" s="27"/>
      <c r="M20" s="27"/>
      <c r="N20" s="28"/>
      <c r="O20" s="28"/>
      <c r="P20" s="28"/>
      <c r="Q20" s="29">
        <f t="shared" si="2"/>
        <v>16</v>
      </c>
      <c r="R20" s="29" t="str">
        <f t="shared" si="3"/>
        <v>-Consistency Is Key, </v>
      </c>
      <c r="S20" s="30">
        <v>3.0</v>
      </c>
      <c r="T20" s="30">
        <v>2.0</v>
      </c>
      <c r="U20" s="30">
        <v>2.0</v>
      </c>
      <c r="V20" s="30">
        <v>2.0</v>
      </c>
      <c r="W20" s="30">
        <v>2.0</v>
      </c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45">
        <v>2.0</v>
      </c>
    </row>
    <row r="21" ht="14.25" customHeight="1">
      <c r="A21" s="44" t="s">
        <v>79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1</v>
      </c>
      <c r="L21" s="27"/>
      <c r="M21" s="27"/>
      <c r="N21" s="28"/>
      <c r="O21" s="28"/>
      <c r="P21" s="28"/>
      <c r="Q21" s="29">
        <f t="shared" si="2"/>
        <v>11</v>
      </c>
      <c r="R21" s="29" t="str">
        <f t="shared" si="3"/>
        <v>-Consistency Is Key, </v>
      </c>
      <c r="S21" s="30">
        <v>2.0</v>
      </c>
      <c r="T21" s="30">
        <v>2.0</v>
      </c>
      <c r="U21" s="30">
        <v>1.0</v>
      </c>
      <c r="V21" s="30">
        <v>1.0</v>
      </c>
      <c r="W21" s="30">
        <v>1.0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1">
        <v>1.0</v>
      </c>
    </row>
    <row r="22" ht="14.25" customHeight="1">
      <c r="A22" s="44" t="s">
        <v>80</v>
      </c>
      <c r="B22" s="26"/>
      <c r="C22" s="26"/>
      <c r="D22" s="26"/>
      <c r="E22" s="26"/>
      <c r="F22" s="26"/>
      <c r="G22" s="42">
        <v>1.0</v>
      </c>
      <c r="H22" s="34">
        <v>1.0</v>
      </c>
      <c r="I22" s="27"/>
      <c r="J22" s="27">
        <f t="shared" si="1"/>
        <v>1</v>
      </c>
      <c r="K22" s="27">
        <f t="array" ref="K22">IF(MAX(FREQUENCY(IF(S22:AL22&gt;0,COLUMN(S22:AL22)),IF(S22:AL22&lt;=0,COLUMN(S22:AL22))))&gt;4,1,0)</f>
        <v>1</v>
      </c>
      <c r="L22" s="27"/>
      <c r="M22" s="27"/>
      <c r="N22" s="28"/>
      <c r="O22" s="28"/>
      <c r="P22" s="28"/>
      <c r="Q22" s="29">
        <f t="shared" si="2"/>
        <v>25</v>
      </c>
      <c r="R22" s="29" t="str">
        <f t="shared" si="3"/>
        <v>-Help a friend!, Full Combo, Three-Star Wonder, Consistency Is Key, </v>
      </c>
      <c r="S22" s="30">
        <v>4.0</v>
      </c>
      <c r="T22" s="30">
        <v>2.0</v>
      </c>
      <c r="U22" s="30">
        <v>2.0</v>
      </c>
      <c r="V22" s="30">
        <v>3.0</v>
      </c>
      <c r="W22" s="30">
        <v>3.0</v>
      </c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1">
        <v>1.0</v>
      </c>
    </row>
    <row r="23" ht="14.25" customHeight="1">
      <c r="A23" s="44" t="s">
        <v>81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1</v>
      </c>
      <c r="K23" s="27">
        <f t="array" ref="K23">IF(MAX(FREQUENCY(IF(S23:AL23&gt;0,COLUMN(S23:AL23)),IF(S23:AL23&lt;=0,COLUMN(S23:AL23))))&gt;4,1,0)</f>
        <v>1</v>
      </c>
      <c r="L23" s="27"/>
      <c r="M23" s="27"/>
      <c r="N23" s="28"/>
      <c r="O23" s="28"/>
      <c r="P23" s="28"/>
      <c r="Q23" s="29">
        <f t="shared" si="2"/>
        <v>19</v>
      </c>
      <c r="R23" s="29" t="str">
        <f t="shared" si="3"/>
        <v>-Three-Star Wonder, Consistency Is Key, </v>
      </c>
      <c r="S23" s="30">
        <v>3.0</v>
      </c>
      <c r="T23" s="30">
        <v>2.0</v>
      </c>
      <c r="U23" s="30">
        <v>3.0</v>
      </c>
      <c r="V23" s="30">
        <v>2.0</v>
      </c>
      <c r="W23" s="30">
        <v>3.0</v>
      </c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1">
        <v>0.0</v>
      </c>
    </row>
    <row r="24" ht="14.25" customHeight="1">
      <c r="A24" s="44" t="s">
        <v>82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1</v>
      </c>
      <c r="L24" s="27"/>
      <c r="M24" s="27"/>
      <c r="N24" s="28"/>
      <c r="O24" s="28"/>
      <c r="P24" s="28"/>
      <c r="Q24" s="29">
        <f t="shared" si="2"/>
        <v>15</v>
      </c>
      <c r="R24" s="29" t="str">
        <f t="shared" si="3"/>
        <v>-Consistency Is Key, </v>
      </c>
      <c r="S24" s="30">
        <v>3.0</v>
      </c>
      <c r="T24" s="30">
        <v>2.0</v>
      </c>
      <c r="U24" s="30">
        <v>2.0</v>
      </c>
      <c r="V24" s="30">
        <v>3.0</v>
      </c>
      <c r="W24" s="30">
        <v>2.0</v>
      </c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1">
        <v>0.0</v>
      </c>
    </row>
    <row r="25" ht="14.25" customHeight="1">
      <c r="A25" s="44" t="s">
        <v>83</v>
      </c>
      <c r="B25" s="26"/>
      <c r="C25" s="26"/>
      <c r="D25" s="26"/>
      <c r="E25" s="26"/>
      <c r="F25" s="26"/>
      <c r="G25" s="26"/>
      <c r="H25" s="34">
        <v>1.0</v>
      </c>
      <c r="I25" s="27"/>
      <c r="J25" s="27">
        <f t="shared" si="1"/>
        <v>1</v>
      </c>
      <c r="K25" s="27">
        <f t="array" ref="K25">IF(MAX(FREQUENCY(IF(S25:AL25&gt;0,COLUMN(S25:AL25)),IF(S25:AL25&lt;=0,COLUMN(S25:AL25))))&gt;4,1,0)</f>
        <v>1</v>
      </c>
      <c r="L25" s="27"/>
      <c r="M25" s="27"/>
      <c r="N25" s="28"/>
      <c r="O25" s="28"/>
      <c r="P25" s="28"/>
      <c r="Q25" s="29">
        <f t="shared" si="2"/>
        <v>25</v>
      </c>
      <c r="R25" s="29" t="str">
        <f t="shared" si="3"/>
        <v>-Full Combo, Three-Star Wonder, Consistency Is Key, </v>
      </c>
      <c r="S25" s="30">
        <v>4.0</v>
      </c>
      <c r="T25" s="30">
        <v>3.0</v>
      </c>
      <c r="U25" s="30">
        <v>2.0</v>
      </c>
      <c r="V25" s="30">
        <v>3.0</v>
      </c>
      <c r="W25" s="30">
        <v>3.0</v>
      </c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45">
        <v>1.0</v>
      </c>
    </row>
    <row r="26" ht="14.25" customHeight="1">
      <c r="A26" s="44" t="s">
        <v>84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1</v>
      </c>
      <c r="L26" s="27"/>
      <c r="M26" s="27"/>
      <c r="N26" s="28"/>
      <c r="O26" s="28"/>
      <c r="P26" s="28"/>
      <c r="Q26" s="29">
        <f t="shared" si="2"/>
        <v>12</v>
      </c>
      <c r="R26" s="29" t="str">
        <f t="shared" si="3"/>
        <v>-Consistency Is Key, </v>
      </c>
      <c r="S26" s="30">
        <v>1.0</v>
      </c>
      <c r="T26" s="30">
        <v>3.0</v>
      </c>
      <c r="U26" s="30">
        <v>2.0</v>
      </c>
      <c r="V26" s="30">
        <v>2.0</v>
      </c>
      <c r="W26" s="30">
        <v>1.0</v>
      </c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1">
        <v>0.0</v>
      </c>
    </row>
    <row r="27" ht="14.25" customHeight="1">
      <c r="A27" s="44" t="s">
        <v>85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1</v>
      </c>
      <c r="K27" s="27">
        <f t="array" ref="K27">IF(MAX(FREQUENCY(IF(S27:AL27&gt;0,COLUMN(S27:AL27)),IF(S27:AL27&lt;=0,COLUMN(S27:AL27))))&gt;4,1,0)</f>
        <v>1</v>
      </c>
      <c r="L27" s="27"/>
      <c r="M27" s="27"/>
      <c r="N27" s="28"/>
      <c r="O27" s="28"/>
      <c r="P27" s="28"/>
      <c r="Q27" s="29">
        <f t="shared" si="2"/>
        <v>20</v>
      </c>
      <c r="R27" s="29" t="str">
        <f t="shared" si="3"/>
        <v>-Three-Star Wonder, Consistency Is Key, </v>
      </c>
      <c r="S27" s="30">
        <v>3.0</v>
      </c>
      <c r="T27" s="30">
        <v>3.0</v>
      </c>
      <c r="U27" s="30">
        <v>3.0</v>
      </c>
      <c r="V27" s="30">
        <v>1.0</v>
      </c>
      <c r="W27" s="30">
        <v>3.0</v>
      </c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1">
        <v>1.0</v>
      </c>
    </row>
    <row r="28" ht="14.25" customHeight="1">
      <c r="A28" s="44" t="s">
        <v>86</v>
      </c>
      <c r="B28" s="26"/>
      <c r="C28" s="26"/>
      <c r="D28" s="26"/>
      <c r="E28" s="26"/>
      <c r="F28" s="26"/>
      <c r="G28" s="26"/>
      <c r="H28" s="34">
        <v>1.0</v>
      </c>
      <c r="I28" s="27">
        <v>1.0</v>
      </c>
      <c r="J28" s="27">
        <f t="shared" si="1"/>
        <v>1</v>
      </c>
      <c r="K28" s="27">
        <f t="array" ref="K28">IF(MAX(FREQUENCY(IF(S28:AL28&gt;0,COLUMN(S28:AL28)),IF(S28:AL28&lt;=0,COLUMN(S28:AL28))))&gt;4,1,0)</f>
        <v>1</v>
      </c>
      <c r="L28" s="27"/>
      <c r="M28" s="27"/>
      <c r="N28" s="28"/>
      <c r="O28" s="28"/>
      <c r="P28" s="28"/>
      <c r="Q28" s="29">
        <f t="shared" si="2"/>
        <v>29</v>
      </c>
      <c r="R28" s="29" t="str">
        <f t="shared" si="3"/>
        <v>-Full Combo, Math Ambassador, Three-Star Wonder, Consistency Is Key, </v>
      </c>
      <c r="S28" s="30">
        <v>4.0</v>
      </c>
      <c r="T28" s="30">
        <v>3.0</v>
      </c>
      <c r="U28" s="30">
        <v>3.0</v>
      </c>
      <c r="V28" s="30">
        <v>3.0</v>
      </c>
      <c r="W28" s="30">
        <v>3.0</v>
      </c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1">
        <v>1.0</v>
      </c>
    </row>
    <row r="29" ht="14.25" customHeight="1">
      <c r="A29" s="44" t="s">
        <v>87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1</v>
      </c>
      <c r="L29" s="27"/>
      <c r="M29" s="27"/>
      <c r="N29" s="28"/>
      <c r="O29" s="28"/>
      <c r="P29" s="28"/>
      <c r="Q29" s="29">
        <f t="shared" si="2"/>
        <v>16</v>
      </c>
      <c r="R29" s="29" t="str">
        <f t="shared" si="3"/>
        <v>-Consistency Is Key, </v>
      </c>
      <c r="S29" s="30">
        <v>4.0</v>
      </c>
      <c r="T29" s="30">
        <v>2.0</v>
      </c>
      <c r="U29" s="30">
        <v>2.0</v>
      </c>
      <c r="V29" s="30">
        <v>2.0</v>
      </c>
      <c r="W29" s="30">
        <v>3.0</v>
      </c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1">
        <v>0.0</v>
      </c>
    </row>
    <row r="30" ht="14.25" customHeight="1">
      <c r="A30" s="44" t="s">
        <v>88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1</v>
      </c>
      <c r="K30" s="27">
        <f t="array" ref="K30">IF(MAX(FREQUENCY(IF(S30:AL30&gt;0,COLUMN(S30:AL30)),IF(S30:AL30&lt;=0,COLUMN(S30:AL30))))&gt;4,1,0)</f>
        <v>1</v>
      </c>
      <c r="L30" s="27"/>
      <c r="M30" s="27"/>
      <c r="N30" s="28"/>
      <c r="O30" s="28"/>
      <c r="P30" s="28"/>
      <c r="Q30" s="29">
        <f t="shared" si="2"/>
        <v>22</v>
      </c>
      <c r="R30" s="29" t="str">
        <f t="shared" si="3"/>
        <v>-Three-Star Wonder, Consistency Is Key, </v>
      </c>
      <c r="S30" s="30">
        <v>4.0</v>
      </c>
      <c r="T30" s="30">
        <v>3.0</v>
      </c>
      <c r="U30" s="30">
        <v>3.0</v>
      </c>
      <c r="V30" s="30">
        <v>3.0</v>
      </c>
      <c r="W30" s="30">
        <v>2.0</v>
      </c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1">
        <v>1.0</v>
      </c>
    </row>
    <row r="31" ht="14.25" customHeight="1">
      <c r="A31" s="44" t="s">
        <v>89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1</v>
      </c>
      <c r="L31" s="27"/>
      <c r="M31" s="27"/>
      <c r="N31" s="28"/>
      <c r="O31" s="28"/>
      <c r="P31" s="28"/>
      <c r="Q31" s="29">
        <f t="shared" si="2"/>
        <v>13</v>
      </c>
      <c r="R31" s="29" t="str">
        <f t="shared" si="3"/>
        <v>-Consistency Is Key, </v>
      </c>
      <c r="S31" s="30">
        <v>3.0</v>
      </c>
      <c r="T31" s="30">
        <v>2.0</v>
      </c>
      <c r="U31" s="30">
        <v>2.0</v>
      </c>
      <c r="V31" s="30">
        <v>2.0</v>
      </c>
      <c r="W31" s="30">
        <v>1.0</v>
      </c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1">
        <v>0.0</v>
      </c>
    </row>
    <row r="32" ht="14.25" customHeight="1">
      <c r="A32" s="44" t="s">
        <v>90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8</v>
      </c>
      <c r="R32" s="29" t="str">
        <f t="shared" si="3"/>
        <v>-</v>
      </c>
      <c r="S32" s="30">
        <v>0.0</v>
      </c>
      <c r="T32" s="30">
        <v>1.0</v>
      </c>
      <c r="U32" s="30">
        <v>1.0</v>
      </c>
      <c r="V32" s="30">
        <v>3.0</v>
      </c>
      <c r="W32" s="30">
        <v>2.0</v>
      </c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1">
        <v>1.0</v>
      </c>
    </row>
    <row r="33" ht="14.25" customHeight="1">
      <c r="A33" s="44" t="s">
        <v>91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1</v>
      </c>
      <c r="K33" s="27">
        <f t="array" ref="K33">IF(MAX(FREQUENCY(IF(S33:AL33&gt;0,COLUMN(S33:AL33)),IF(S33:AL33&lt;=0,COLUMN(S33:AL33))))&gt;4,1,0)</f>
        <v>1</v>
      </c>
      <c r="L33" s="27"/>
      <c r="M33" s="27"/>
      <c r="N33" s="28"/>
      <c r="O33" s="28"/>
      <c r="P33" s="28"/>
      <c r="Q33" s="29">
        <f t="shared" si="2"/>
        <v>19</v>
      </c>
      <c r="R33" s="29" t="str">
        <f t="shared" si="3"/>
        <v>-Three-Star Wonder, Consistency Is Key, </v>
      </c>
      <c r="S33" s="30">
        <v>3.0</v>
      </c>
      <c r="T33" s="30">
        <v>3.0</v>
      </c>
      <c r="U33" s="30">
        <v>2.0</v>
      </c>
      <c r="V33" s="30">
        <v>2.0</v>
      </c>
      <c r="W33" s="30">
        <v>3.0</v>
      </c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1">
        <v>0.0</v>
      </c>
    </row>
    <row r="34" ht="14.25" customHeight="1">
      <c r="A34" s="44" t="s">
        <v>92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1</v>
      </c>
      <c r="K34" s="27">
        <f t="array" ref="K34">IF(MAX(FREQUENCY(IF(S34:AL34&gt;0,COLUMN(S34:AL34)),IF(S34:AL34&lt;=0,COLUMN(S34:AL34))))&gt;4,1,0)</f>
        <v>1</v>
      </c>
      <c r="L34" s="27"/>
      <c r="M34" s="27"/>
      <c r="N34" s="28"/>
      <c r="O34" s="28"/>
      <c r="P34" s="28"/>
      <c r="Q34" s="29">
        <f t="shared" si="2"/>
        <v>20</v>
      </c>
      <c r="R34" s="29" t="str">
        <f t="shared" si="3"/>
        <v>-Three-Star Wonder, Consistency Is Key, </v>
      </c>
      <c r="S34" s="30">
        <v>3.0</v>
      </c>
      <c r="T34" s="30">
        <v>2.0</v>
      </c>
      <c r="U34" s="30">
        <v>2.0</v>
      </c>
      <c r="V34" s="30">
        <v>3.0</v>
      </c>
      <c r="W34" s="30">
        <v>3.0</v>
      </c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1">
        <v>1.0</v>
      </c>
    </row>
    <row r="35" ht="14.25" customHeight="1">
      <c r="A35" s="44" t="s">
        <v>93</v>
      </c>
      <c r="B35" s="26"/>
      <c r="C35" s="26"/>
      <c r="D35" s="26"/>
      <c r="E35" s="26"/>
      <c r="F35" s="26"/>
      <c r="G35" s="26"/>
      <c r="H35" s="34">
        <v>1.0</v>
      </c>
      <c r="I35" s="27"/>
      <c r="J35" s="27">
        <f t="shared" si="1"/>
        <v>1</v>
      </c>
      <c r="K35" s="27">
        <f t="array" ref="K35">IF(MAX(FREQUENCY(IF(S35:AL35&gt;0,COLUMN(S35:AL35)),IF(S35:AL35&lt;=0,COLUMN(S35:AL35))))&gt;4,1,0)</f>
        <v>1</v>
      </c>
      <c r="L35" s="27"/>
      <c r="M35" s="27"/>
      <c r="N35" s="28"/>
      <c r="O35" s="28"/>
      <c r="P35" s="28"/>
      <c r="Q35" s="29">
        <f t="shared" si="2"/>
        <v>26</v>
      </c>
      <c r="R35" s="29" t="str">
        <f t="shared" si="3"/>
        <v>-Full Combo, Three-Star Wonder, Consistency Is Key, </v>
      </c>
      <c r="S35" s="30">
        <v>4.0</v>
      </c>
      <c r="T35" s="30">
        <v>3.0</v>
      </c>
      <c r="U35" s="30">
        <v>3.0</v>
      </c>
      <c r="V35" s="30">
        <v>3.0</v>
      </c>
      <c r="W35" s="30">
        <v>3.0</v>
      </c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1">
        <v>1.0</v>
      </c>
    </row>
    <row r="36" ht="14.25" customHeight="1">
      <c r="A36" s="44" t="s">
        <v>94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1</v>
      </c>
      <c r="L36" s="27"/>
      <c r="M36" s="27"/>
      <c r="N36" s="28"/>
      <c r="O36" s="28"/>
      <c r="P36" s="28"/>
      <c r="Q36" s="29">
        <f t="shared" si="2"/>
        <v>12</v>
      </c>
      <c r="R36" s="29" t="str">
        <f t="shared" si="3"/>
        <v>-Consistency Is Key, </v>
      </c>
      <c r="S36" s="30" t="s">
        <v>95</v>
      </c>
      <c r="T36" s="30">
        <v>2.0</v>
      </c>
      <c r="U36" s="30">
        <v>3.0</v>
      </c>
      <c r="V36" s="30">
        <v>1.0</v>
      </c>
      <c r="W36" s="30">
        <v>2.0</v>
      </c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1">
        <v>1.0</v>
      </c>
    </row>
    <row r="37" ht="14.25" customHeight="1">
      <c r="A37" s="44" t="s">
        <v>96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1</v>
      </c>
      <c r="L37" s="27"/>
      <c r="M37" s="27"/>
      <c r="N37" s="28"/>
      <c r="O37" s="28"/>
      <c r="P37" s="28"/>
      <c r="Q37" s="29">
        <f t="shared" si="2"/>
        <v>13</v>
      </c>
      <c r="R37" s="29" t="str">
        <f t="shared" si="3"/>
        <v>-Consistency Is Key, </v>
      </c>
      <c r="S37" s="30">
        <v>1.0</v>
      </c>
      <c r="T37" s="30">
        <v>3.0</v>
      </c>
      <c r="U37" s="30">
        <v>1.0</v>
      </c>
      <c r="V37" s="30">
        <v>2.0</v>
      </c>
      <c r="W37" s="30">
        <v>3.0</v>
      </c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1">
        <v>0.0</v>
      </c>
    </row>
    <row r="38" ht="14.25" customHeight="1">
      <c r="A38" s="47" t="s">
        <v>97</v>
      </c>
      <c r="B38" s="26"/>
      <c r="C38" s="26"/>
      <c r="D38" s="26"/>
      <c r="E38" s="26"/>
      <c r="F38" s="26"/>
      <c r="G38" s="26"/>
      <c r="H38" s="27"/>
      <c r="I38" s="27"/>
      <c r="J38" s="27">
        <f t="shared" si="1"/>
        <v>0</v>
      </c>
      <c r="K38" s="27">
        <f t="array" ref="K38">IF(MAX(FREQUENCY(IF(S38:AL38&gt;0,COLUMN(S38:AL38)),IF(S38:AL38&lt;=0,COLUMN(S38:AL38))))&gt;4,1,0)</f>
        <v>0</v>
      </c>
      <c r="L38" s="27"/>
      <c r="M38" s="27"/>
      <c r="N38" s="28"/>
      <c r="O38" s="28"/>
      <c r="P38" s="28"/>
      <c r="Q38" s="29">
        <f t="shared" si="2"/>
        <v>9</v>
      </c>
      <c r="R38" s="29" t="str">
        <f t="shared" si="3"/>
        <v>-</v>
      </c>
      <c r="S38" s="30">
        <v>2.0</v>
      </c>
      <c r="T38" s="30">
        <v>1.0</v>
      </c>
      <c r="U38" s="30">
        <v>0.0</v>
      </c>
      <c r="V38" s="30">
        <v>2.0</v>
      </c>
      <c r="W38" s="30">
        <v>3.0</v>
      </c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1">
        <v>1.0</v>
      </c>
    </row>
    <row r="39" ht="14.25" customHeight="1">
      <c r="A39" s="47" t="s">
        <v>98</v>
      </c>
      <c r="B39" s="26"/>
      <c r="C39" s="26"/>
      <c r="D39" s="26"/>
      <c r="E39" s="26"/>
      <c r="F39" s="26"/>
      <c r="G39" s="26"/>
      <c r="H39" s="27"/>
      <c r="I39" s="27"/>
      <c r="J39" s="27">
        <f t="shared" si="1"/>
        <v>1</v>
      </c>
      <c r="K39" s="27">
        <f t="array" ref="K39">IF(MAX(FREQUENCY(IF(S39:AL39&gt;0,COLUMN(S39:AL39)),IF(S39:AL39&lt;=0,COLUMN(S39:AL39))))&gt;4,1,0)</f>
        <v>1</v>
      </c>
      <c r="L39" s="27"/>
      <c r="M39" s="27"/>
      <c r="N39" s="28"/>
      <c r="O39" s="28"/>
      <c r="P39" s="28"/>
      <c r="Q39" s="29">
        <f t="shared" si="2"/>
        <v>21</v>
      </c>
      <c r="R39" s="29" t="str">
        <f t="shared" si="3"/>
        <v>-Three-Star Wonder, Consistency Is Key, </v>
      </c>
      <c r="S39" s="30">
        <v>3.0</v>
      </c>
      <c r="T39" s="30">
        <v>3.0</v>
      </c>
      <c r="U39" s="30">
        <v>3.0</v>
      </c>
      <c r="V39" s="30">
        <v>3.0</v>
      </c>
      <c r="W39" s="30">
        <v>3.0</v>
      </c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1">
        <v>0.0</v>
      </c>
    </row>
    <row r="40" ht="14.25" customHeight="1">
      <c r="A40" s="47" t="s">
        <v>99</v>
      </c>
      <c r="B40" s="26"/>
      <c r="C40" s="26"/>
      <c r="D40" s="26"/>
      <c r="E40" s="26"/>
      <c r="F40" s="26"/>
      <c r="G40" s="26"/>
      <c r="H40" s="27"/>
      <c r="I40" s="27"/>
      <c r="J40" s="27">
        <f t="shared" si="1"/>
        <v>0</v>
      </c>
      <c r="K40" s="27">
        <f t="array" ref="K40">IF(MAX(FREQUENCY(IF(S40:AL40&gt;0,COLUMN(S40:AL40)),IF(S40:AL40&lt;=0,COLUMN(S40:AL40))))&gt;4,1,0)</f>
        <v>0</v>
      </c>
      <c r="L40" s="27"/>
      <c r="M40" s="27"/>
      <c r="N40" s="28"/>
      <c r="O40" s="28"/>
      <c r="P40" s="28"/>
      <c r="Q40" s="29">
        <f t="shared" si="2"/>
        <v>7</v>
      </c>
      <c r="R40" s="29" t="str">
        <f t="shared" si="3"/>
        <v>-</v>
      </c>
      <c r="S40" s="30">
        <v>2.0</v>
      </c>
      <c r="T40" s="30">
        <v>0.0</v>
      </c>
      <c r="U40" s="30">
        <v>1.0</v>
      </c>
      <c r="V40" s="30">
        <v>2.0</v>
      </c>
      <c r="W40" s="30">
        <v>2.0</v>
      </c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1">
        <v>0.0</v>
      </c>
    </row>
    <row r="41" ht="14.25" customHeight="1">
      <c r="A41" s="47" t="s">
        <v>100</v>
      </c>
      <c r="B41" s="26"/>
      <c r="C41" s="26"/>
      <c r="D41" s="26"/>
      <c r="E41" s="26"/>
      <c r="F41" s="26"/>
      <c r="G41" s="26"/>
      <c r="H41" s="27"/>
      <c r="I41" s="27"/>
      <c r="J41" s="27">
        <f t="shared" si="1"/>
        <v>1</v>
      </c>
      <c r="K41" s="27">
        <f t="array" ref="K41">IF(MAX(FREQUENCY(IF(S41:AL41&gt;0,COLUMN(S41:AL41)),IF(S41:AL41&lt;=0,COLUMN(S41:AL41))))&gt;4,1,0)</f>
        <v>1</v>
      </c>
      <c r="L41" s="27"/>
      <c r="M41" s="27"/>
      <c r="N41" s="28"/>
      <c r="O41" s="28"/>
      <c r="P41" s="28"/>
      <c r="Q41" s="29">
        <f t="shared" si="2"/>
        <v>19</v>
      </c>
      <c r="R41" s="29" t="str">
        <f t="shared" si="3"/>
        <v>-Three-Star Wonder, Consistency Is Key, </v>
      </c>
      <c r="S41" s="30">
        <v>3.0</v>
      </c>
      <c r="T41" s="30">
        <v>3.0</v>
      </c>
      <c r="U41" s="30">
        <v>2.0</v>
      </c>
      <c r="V41" s="30">
        <v>2.0</v>
      </c>
      <c r="W41" s="30">
        <v>3.0</v>
      </c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1">
        <v>0.0</v>
      </c>
    </row>
    <row r="42" ht="14.25" customHeight="1">
      <c r="A42" s="48" t="s">
        <v>101</v>
      </c>
      <c r="B42" s="26"/>
      <c r="C42" s="26"/>
      <c r="D42" s="26"/>
      <c r="E42" s="26"/>
      <c r="F42" s="26"/>
      <c r="G42" s="26"/>
      <c r="H42" s="27"/>
      <c r="I42" s="27"/>
      <c r="J42" s="27">
        <f t="shared" si="1"/>
        <v>1</v>
      </c>
      <c r="K42" s="27">
        <f t="array" ref="K42">IF(MAX(FREQUENCY(IF(S42:AL42&gt;0,COLUMN(S42:AL42)),IF(S42:AL42&lt;=0,COLUMN(S42:AL42))))&gt;4,1,0)</f>
        <v>1</v>
      </c>
      <c r="L42" s="27"/>
      <c r="M42" s="27"/>
      <c r="N42" s="28"/>
      <c r="O42" s="28"/>
      <c r="P42" s="28"/>
      <c r="Q42" s="29">
        <f t="shared" si="2"/>
        <v>18</v>
      </c>
      <c r="R42" s="29" t="str">
        <f t="shared" si="3"/>
        <v>-Three-Star Wonder, Consistency Is Key, </v>
      </c>
      <c r="S42" s="30">
        <v>3.0</v>
      </c>
      <c r="T42" s="30">
        <v>3.0</v>
      </c>
      <c r="U42" s="30">
        <v>3.0</v>
      </c>
      <c r="V42" s="30">
        <v>1.0</v>
      </c>
      <c r="W42" s="30">
        <v>1.0</v>
      </c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1">
        <v>1.0</v>
      </c>
    </row>
    <row r="43" ht="14.25" customHeight="1">
      <c r="A43" s="48" t="s">
        <v>102</v>
      </c>
      <c r="B43" s="26"/>
      <c r="C43" s="26"/>
      <c r="D43" s="26"/>
      <c r="E43" s="26"/>
      <c r="F43" s="26"/>
      <c r="G43" s="26"/>
      <c r="H43" s="27"/>
      <c r="I43" s="27"/>
      <c r="J43" s="27">
        <f t="shared" si="1"/>
        <v>1</v>
      </c>
      <c r="K43" s="27">
        <f t="array" ref="K43">IF(MAX(FREQUENCY(IF(S43:AL43&gt;0,COLUMN(S43:AL43)),IF(S43:AL43&lt;=0,COLUMN(S43:AL43))))&gt;4,1,0)</f>
        <v>1</v>
      </c>
      <c r="L43" s="27"/>
      <c r="M43" s="27"/>
      <c r="N43" s="28"/>
      <c r="O43" s="28"/>
      <c r="P43" s="46">
        <v>1.0</v>
      </c>
      <c r="Q43" s="29">
        <f t="shared" si="2"/>
        <v>26</v>
      </c>
      <c r="R43" s="29" t="str">
        <f t="shared" si="3"/>
        <v>-Three-Star Wonder, Consistency Is Key, Math Genius, </v>
      </c>
      <c r="S43" s="30">
        <v>4.0</v>
      </c>
      <c r="T43" s="30">
        <v>3.0</v>
      </c>
      <c r="U43" s="30">
        <v>3.0</v>
      </c>
      <c r="V43" s="30">
        <v>3.0</v>
      </c>
      <c r="W43" s="30">
        <v>2.0</v>
      </c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1">
        <v>0.0</v>
      </c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2 G3'!A4</f>
        <v>En Qi</v>
      </c>
      <c r="B2" s="1" t="str">
        <f>'Sec 2 G3'!R4</f>
        <v>-Consistency Is Key, </v>
      </c>
      <c r="C2" s="1">
        <f>'Sec 2 G3'!Q4</f>
        <v>12</v>
      </c>
    </row>
    <row r="3" ht="14.25" customHeight="1">
      <c r="A3" s="1" t="str">
        <f>'Sec 2 G3'!A5</f>
        <v>Lee Ren</v>
      </c>
      <c r="B3" s="1" t="str">
        <f>'Sec 2 G3'!R5</f>
        <v>-</v>
      </c>
      <c r="C3" s="1">
        <f>'Sec 2 G3'!Q5</f>
        <v>8</v>
      </c>
    </row>
    <row r="4" ht="14.25" customHeight="1">
      <c r="A4" s="1" t="str">
        <f>'Sec 2 G3'!A6</f>
        <v>Andreas</v>
      </c>
      <c r="B4" s="1" t="str">
        <f>'Sec 2 G3'!R6</f>
        <v>-</v>
      </c>
      <c r="C4" s="1">
        <f>'Sec 2 G3'!Q6</f>
        <v>10</v>
      </c>
    </row>
    <row r="5" ht="14.25" customHeight="1">
      <c r="A5" s="1" t="str">
        <f>'Sec 2 G3'!A7</f>
        <v>Bao Le</v>
      </c>
      <c r="B5" s="1" t="str">
        <f>'Sec 2 G3'!R7</f>
        <v>-Consistency Is Key, </v>
      </c>
      <c r="C5" s="1">
        <f>'Sec 2 G3'!Q7</f>
        <v>15</v>
      </c>
    </row>
    <row r="6" ht="14.25" customHeight="1">
      <c r="A6" s="1" t="str">
        <f>'Sec 2 G3'!A8</f>
        <v>Sofia</v>
      </c>
      <c r="B6" s="1" t="str">
        <f>'Sec 2 G3'!R8</f>
        <v>-Three-Star Wonder, Consistency Is Key, </v>
      </c>
      <c r="C6" s="1">
        <f>'Sec 2 G3'!Q8</f>
        <v>18</v>
      </c>
    </row>
    <row r="7" ht="14.25" customHeight="1">
      <c r="A7" s="1" t="str">
        <f>'Sec 2 G3'!A9</f>
        <v>Jayden Soh</v>
      </c>
      <c r="B7" s="1" t="str">
        <f>'Sec 2 G3'!R9</f>
        <v>-Consistency Is Key, </v>
      </c>
      <c r="C7" s="1">
        <f>'Sec 2 G3'!Q9</f>
        <v>15</v>
      </c>
    </row>
    <row r="8" ht="14.25" customHeight="1">
      <c r="A8" s="1" t="str">
        <f>'Sec 2 G3'!A10</f>
        <v>Geng Qi</v>
      </c>
      <c r="B8" s="1" t="str">
        <f>'Sec 2 G3'!R10</f>
        <v>-I Say Hi, Three-Star Wonder, Consistency Is Key, </v>
      </c>
      <c r="C8" s="1">
        <f>'Sec 2 G3'!Q10</f>
        <v>25</v>
      </c>
    </row>
    <row r="9" ht="14.25" customHeight="1">
      <c r="A9" s="1" t="str">
        <f>'Sec 2 G3'!A11</f>
        <v>Qiu Yun</v>
      </c>
      <c r="B9" s="1" t="str">
        <f>'Sec 2 G3'!R11</f>
        <v>-Consistency Is Key, </v>
      </c>
      <c r="C9" s="1">
        <f>'Sec 2 G3'!Q11</f>
        <v>13</v>
      </c>
    </row>
    <row r="10" ht="14.25" customHeight="1">
      <c r="A10" s="1" t="str">
        <f>'Sec 2 G3'!A12</f>
        <v>Rui Xuan</v>
      </c>
      <c r="B10" s="1" t="str">
        <f>'Sec 2 G3'!R12</f>
        <v>-Consistency Is Key, </v>
      </c>
      <c r="C10" s="1">
        <f>'Sec 2 G3'!Q12</f>
        <v>14</v>
      </c>
    </row>
    <row r="11" ht="14.25" customHeight="1">
      <c r="A11" s="1" t="str">
        <f>'Sec 2 G3'!A13</f>
        <v>Vivian</v>
      </c>
      <c r="B11" s="1" t="str">
        <f>'Sec 2 G3'!R13</f>
        <v>-I Say Hi, Three-Star Wonder, Consistency Is Key, </v>
      </c>
      <c r="C11" s="1">
        <f>'Sec 2 G3'!Q13</f>
        <v>19</v>
      </c>
    </row>
    <row r="12" ht="14.25" customHeight="1">
      <c r="A12" s="1" t="str">
        <f>'Sec 2 G3'!A14</f>
        <v>Arrissa</v>
      </c>
      <c r="B12" s="1" t="str">
        <f>'Sec 2 G3'!R14</f>
        <v>-I Say Hi, Full Combo, Math Ambassador, Three-Star Wonder, Consistency Is Key, Math Genius, </v>
      </c>
      <c r="C12" s="1">
        <f>'Sec 2 G3'!Q14</f>
        <v>34</v>
      </c>
    </row>
    <row r="13" ht="14.25" customHeight="1">
      <c r="A13" s="1" t="str">
        <f>'Sec 2 G3'!A15</f>
        <v>Zavier</v>
      </c>
      <c r="B13" s="1" t="str">
        <f>'Sec 2 G3'!R15</f>
        <v>-Three-Star Wonder, Consistency Is Key, </v>
      </c>
      <c r="C13" s="1">
        <f>'Sec 2 G3'!Q15</f>
        <v>2</v>
      </c>
    </row>
    <row r="14" ht="14.25" customHeight="1">
      <c r="A14" s="1" t="str">
        <f>'Sec 2 G3'!A16</f>
        <v>Kah Jun</v>
      </c>
      <c r="B14" s="1" t="str">
        <f>'Sec 2 G3'!R16</f>
        <v>-Consistency Is Key, </v>
      </c>
      <c r="C14" s="1">
        <f>'Sec 2 G3'!Q16</f>
        <v>13</v>
      </c>
    </row>
    <row r="15" ht="14.25" customHeight="1">
      <c r="A15" s="1" t="str">
        <f>'Sec 2 G3'!A17</f>
        <v>Charlyn</v>
      </c>
      <c r="B15" s="1" t="str">
        <f>'Sec 2 G3'!R17</f>
        <v>-Consistency Is Key, </v>
      </c>
      <c r="C15" s="1">
        <f>'Sec 2 G3'!Q17</f>
        <v>14</v>
      </c>
    </row>
    <row r="16" ht="14.25" customHeight="1">
      <c r="A16" s="1" t="str">
        <f>'Sec 2 G3'!A18</f>
        <v>Fu Ying</v>
      </c>
      <c r="B16" s="1" t="str">
        <f>'Sec 2 G3'!R18</f>
        <v>-Consistency Is Key, </v>
      </c>
      <c r="C16" s="1">
        <f>'Sec 2 G3'!Q18</f>
        <v>14</v>
      </c>
    </row>
    <row r="17" ht="14.25" customHeight="1">
      <c r="A17" s="1" t="str">
        <f>'Sec 2 G3'!A19</f>
        <v>Chevelle</v>
      </c>
      <c r="B17" s="1" t="str">
        <f>'Sec 2 G3'!R19</f>
        <v>-Consistency Is Key, </v>
      </c>
      <c r="C17" s="1">
        <f>'Sec 2 G3'!Q19</f>
        <v>12</v>
      </c>
    </row>
    <row r="18" ht="14.25" customHeight="1">
      <c r="A18" s="1" t="str">
        <f>'Sec 2 G3'!A20</f>
        <v>Meng Long</v>
      </c>
      <c r="B18" s="1" t="str">
        <f>'Sec 2 G3'!R20</f>
        <v>-Consistency Is Key, </v>
      </c>
      <c r="C18" s="1">
        <f>'Sec 2 G3'!Q20</f>
        <v>16</v>
      </c>
    </row>
    <row r="19" ht="14.25" customHeight="1">
      <c r="A19" s="1" t="str">
        <f>'Sec 2 G3'!A21</f>
        <v>Derric</v>
      </c>
      <c r="B19" s="1" t="str">
        <f>'Sec 2 G3'!R21</f>
        <v>-Consistency Is Key, </v>
      </c>
      <c r="C19" s="1">
        <f>'Sec 2 G3'!Q21</f>
        <v>11</v>
      </c>
    </row>
    <row r="20" ht="14.25" customHeight="1">
      <c r="A20" s="1" t="str">
        <f>'Sec 2 G3'!A22</f>
        <v>Edward</v>
      </c>
      <c r="B20" s="1" t="str">
        <f>'Sec 2 G3'!R22</f>
        <v>-Help a friend!, Full Combo, Three-Star Wonder, Consistency Is Key, </v>
      </c>
      <c r="C20" s="1">
        <f>'Sec 2 G3'!Q22</f>
        <v>25</v>
      </c>
    </row>
    <row r="21" ht="14.25" customHeight="1">
      <c r="A21" s="1" t="str">
        <f>'Sec 2 G3'!A23</f>
        <v>Elizabeth</v>
      </c>
      <c r="B21" s="1" t="str">
        <f>'Sec 2 G3'!R23</f>
        <v>-Three-Star Wonder, Consistency Is Key, </v>
      </c>
      <c r="C21" s="1">
        <f>'Sec 2 G3'!Q23</f>
        <v>19</v>
      </c>
    </row>
    <row r="22" ht="14.25" customHeight="1">
      <c r="A22" s="1" t="str">
        <f>'Sec 2 G3'!A24</f>
        <v>Geneve</v>
      </c>
      <c r="B22" s="1" t="str">
        <f>'Sec 2 G3'!R24</f>
        <v>-Consistency Is Key, </v>
      </c>
      <c r="C22" s="1">
        <f>'Sec 2 G3'!Q24</f>
        <v>15</v>
      </c>
    </row>
    <row r="23" ht="14.25" customHeight="1">
      <c r="A23" s="1" t="str">
        <f>'Sec 2 G3'!A25</f>
        <v>Hayley</v>
      </c>
      <c r="B23" s="1" t="str">
        <f>'Sec 2 G3'!R25</f>
        <v>-Full Combo, Three-Star Wonder, Consistency Is Key, </v>
      </c>
      <c r="C23" s="1">
        <f>'Sec 2 G3'!Q25</f>
        <v>25</v>
      </c>
    </row>
    <row r="24" ht="14.25" customHeight="1">
      <c r="A24" s="1" t="str">
        <f>'Sec 2 G3'!A26</f>
        <v>Joyce</v>
      </c>
      <c r="B24" s="1" t="str">
        <f>'Sec 2 G3'!R26</f>
        <v>-Consistency Is Key, </v>
      </c>
      <c r="C24" s="1">
        <f>'Sec 2 G3'!Q26</f>
        <v>12</v>
      </c>
    </row>
    <row r="25" ht="14.25" customHeight="1">
      <c r="A25" s="1" t="str">
        <f>'Sec 2 G3'!A27</f>
        <v>Qing Tian</v>
      </c>
      <c r="B25" s="1" t="str">
        <f>'Sec 2 G3'!R27</f>
        <v>-Three-Star Wonder, Consistency Is Key, </v>
      </c>
      <c r="C25" s="1">
        <f>'Sec 2 G3'!Q27</f>
        <v>20</v>
      </c>
    </row>
    <row r="26" ht="14.25" customHeight="1">
      <c r="A26" s="1" t="str">
        <f>'Sec 2 G3'!A28</f>
        <v>Adrien</v>
      </c>
      <c r="B26" s="1" t="str">
        <f>'Sec 2 G3'!R28</f>
        <v>-Full Combo, Math Ambassador, Three-Star Wonder, Consistency Is Key, </v>
      </c>
      <c r="C26" s="1">
        <f>'Sec 2 G3'!Q28</f>
        <v>29</v>
      </c>
    </row>
    <row r="27" ht="14.25" customHeight="1">
      <c r="A27" s="1" t="str">
        <f>'Sec 2 G3'!A29</f>
        <v>Claire</v>
      </c>
      <c r="B27" s="1" t="str">
        <f>'Sec 2 G3'!R29</f>
        <v>-Consistency Is Key, </v>
      </c>
      <c r="C27" s="1">
        <f>'Sec 2 G3'!Q29</f>
        <v>16</v>
      </c>
    </row>
    <row r="28" ht="14.25" customHeight="1">
      <c r="A28" s="1" t="str">
        <f>'Sec 2 G3'!A30</f>
        <v>Jayden Lee</v>
      </c>
      <c r="B28" s="1" t="str">
        <f>'Sec 2 G3'!R30</f>
        <v>-Three-Star Wonder, Consistency Is Key, </v>
      </c>
      <c r="C28" s="1">
        <f>'Sec 2 G3'!Q30</f>
        <v>22</v>
      </c>
    </row>
    <row r="29" ht="14.25" customHeight="1">
      <c r="A29" s="1" t="str">
        <f>'Sec 2 G3'!A31</f>
        <v>Raeanne</v>
      </c>
      <c r="B29" s="1" t="str">
        <f>'Sec 2 G3'!R31</f>
        <v>-Consistency Is Key, </v>
      </c>
      <c r="C29" s="1">
        <f>'Sec 2 G3'!Q31</f>
        <v>13</v>
      </c>
    </row>
    <row r="30" ht="14.25" customHeight="1">
      <c r="A30" s="1" t="str">
        <f>'Sec 2 G3'!A32</f>
        <v>Zong Han</v>
      </c>
      <c r="B30" s="1" t="str">
        <f>'Sec 2 G3'!R32</f>
        <v>-</v>
      </c>
      <c r="C30" s="1">
        <f>'Sec 2 G3'!Q32</f>
        <v>8</v>
      </c>
    </row>
    <row r="31" ht="14.25" customHeight="1">
      <c r="A31" s="1" t="str">
        <f>'Sec 2 G3'!A33</f>
        <v>Yue Tong</v>
      </c>
      <c r="B31" s="1" t="str">
        <f>'Sec 2 G3'!R33</f>
        <v>-Three-Star Wonder, Consistency Is Key, </v>
      </c>
      <c r="C31" s="1">
        <f>'Sec 2 G3'!Q33</f>
        <v>19</v>
      </c>
    </row>
    <row r="32" ht="14.25" customHeight="1">
      <c r="A32" s="1" t="str">
        <f>'Sec 2 G3'!A34</f>
        <v>Hao Yi</v>
      </c>
      <c r="B32" s="1" t="str">
        <f>'Sec 2 G3'!R34</f>
        <v>-Three-Star Wonder, Consistency Is Key, </v>
      </c>
      <c r="C32" s="1">
        <f>'Sec 2 G3'!Q34</f>
        <v>20</v>
      </c>
    </row>
    <row r="33" ht="14.25" customHeight="1">
      <c r="A33" s="1" t="str">
        <f>'Sec 2 G3'!A35</f>
        <v>Keegan</v>
      </c>
      <c r="B33" s="1" t="str">
        <f>'Sec 2 G3'!R35</f>
        <v>-Full Combo, Three-Star Wonder, Consistency Is Key, </v>
      </c>
      <c r="C33" s="1">
        <f>'Sec 2 G3'!Q35</f>
        <v>26</v>
      </c>
    </row>
    <row r="34" ht="14.25" customHeight="1">
      <c r="A34" s="1" t="str">
        <f>'Sec 2 G3'!A36</f>
        <v>Jing Le</v>
      </c>
      <c r="B34" s="1" t="str">
        <f>'Sec 2 G3'!R36</f>
        <v>-Consistency Is Key, </v>
      </c>
      <c r="C34" s="1">
        <f>'Sec 2 G3'!Q36</f>
        <v>12</v>
      </c>
    </row>
    <row r="35" ht="14.25" customHeight="1">
      <c r="A35" s="1" t="str">
        <f>'Sec 2 G3'!A37</f>
        <v>Kai Qi</v>
      </c>
      <c r="B35" s="1" t="str">
        <f>'Sec 2 G3'!R37</f>
        <v>-Consistency Is Key, </v>
      </c>
      <c r="C35" s="1">
        <f>'Sec 2 G3'!Q37</f>
        <v>13</v>
      </c>
    </row>
    <row r="36" ht="14.25" customHeight="1">
      <c r="A36" s="1" t="str">
        <f>'Sec 2 G3'!A38</f>
        <v>Don</v>
      </c>
      <c r="B36" s="1" t="str">
        <f>'Sec 2 G3'!R38</f>
        <v>-</v>
      </c>
      <c r="C36" s="1">
        <f>'Sec 2 G3'!Q38</f>
        <v>9</v>
      </c>
    </row>
    <row r="37" ht="14.25" customHeight="1">
      <c r="A37" s="1" t="str">
        <f>'Sec 2 G3'!A39</f>
        <v>Alicia</v>
      </c>
      <c r="B37" s="1" t="str">
        <f>'Sec 2 G3'!R39</f>
        <v>-Three-Star Wonder, Consistency Is Key, </v>
      </c>
      <c r="C37" s="1">
        <f>'Sec 2 G3'!Q39</f>
        <v>21</v>
      </c>
    </row>
    <row r="38" ht="14.25" customHeight="1">
      <c r="A38" s="1" t="str">
        <f>'Sec 2 G3'!A40</f>
        <v>Jacinda</v>
      </c>
      <c r="B38" s="1" t="str">
        <f>'Sec 2 G3'!R40</f>
        <v>-</v>
      </c>
      <c r="C38" s="1">
        <f>'Sec 2 G3'!Q40</f>
        <v>7</v>
      </c>
    </row>
    <row r="39" ht="14.25" customHeight="1">
      <c r="A39" s="1" t="str">
        <f>'Sec 2 G3'!A41</f>
        <v>Ashley</v>
      </c>
      <c r="B39" s="1" t="str">
        <f>'Sec 2 G3'!R41</f>
        <v>-Three-Star Wonder, Consistency Is Key, </v>
      </c>
      <c r="C39" s="1">
        <f>'Sec 2 G3'!Q41</f>
        <v>19</v>
      </c>
    </row>
    <row r="40" ht="14.25" customHeight="1">
      <c r="A40" s="1" t="str">
        <f>'Sec 2 G3'!A42</f>
        <v>Taven</v>
      </c>
      <c r="B40" s="1" t="str">
        <f>'Sec 2 G3'!R42</f>
        <v>-Three-Star Wonder, Consistency Is Key, </v>
      </c>
      <c r="C40" s="1">
        <f>'Sec 2 G3'!Q42</f>
        <v>18</v>
      </c>
    </row>
    <row r="41" ht="14.25" customHeight="1">
      <c r="A41" s="1" t="str">
        <f>'Sec 2 G3'!A43</f>
        <v>Sur Lynn</v>
      </c>
      <c r="B41" s="1" t="str">
        <f>'Sec 2 G3'!R43</f>
        <v>-Three-Star Wonder, Consistency Is Key, Math Genius, </v>
      </c>
      <c r="C41" s="1">
        <f>'Sec 2 G3'!Q43</f>
        <v>26</v>
      </c>
    </row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9" t="s">
        <v>103</v>
      </c>
      <c r="B4" s="26"/>
      <c r="C4" s="26"/>
      <c r="D4" s="26"/>
      <c r="E4" s="26"/>
      <c r="F4" s="26"/>
      <c r="G4" s="26"/>
      <c r="H4" s="27"/>
      <c r="I4" s="27">
        <v>1.0</v>
      </c>
      <c r="J4" s="27">
        <f t="shared" ref="J4:J37" si="1">IF(COUNTIF(S4:AL4,"&gt;=3")&gt;=3,1,0)</f>
        <v>1</v>
      </c>
      <c r="K4" s="27">
        <f t="array" ref="K4">IF(MAX(FREQUENCY(IF(S4:AL4&gt;0,COLUMN(S4:AL4)),IF(S4:AL4&lt;=0,COLUMN(S4:AL4))))&gt;4,1,0)</f>
        <v>1</v>
      </c>
      <c r="L4" s="27"/>
      <c r="M4" s="27"/>
      <c r="N4" s="28"/>
      <c r="O4" s="28"/>
      <c r="P4" s="28"/>
      <c r="Q4" s="29">
        <f t="shared" ref="Q4:Q37" si="2">SUM(B4:G4)+3*SUM(H4:M4)+5*SUM(N4:P4)+SUM(S4:AM4)</f>
        <v>29</v>
      </c>
      <c r="R4" s="29" t="str">
        <f t="shared" ref="R4:R37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-Math Ambassador, Three-Star Wonder, Consistency Is Key, </v>
      </c>
      <c r="S4" s="30">
        <v>3.0</v>
      </c>
      <c r="T4" s="30">
        <v>1.0</v>
      </c>
      <c r="U4" s="30">
        <v>1.0</v>
      </c>
      <c r="V4" s="30">
        <v>3.0</v>
      </c>
      <c r="W4" s="30">
        <v>3.0</v>
      </c>
      <c r="X4" s="30">
        <v>3.0</v>
      </c>
      <c r="Y4" s="30">
        <v>2.0</v>
      </c>
      <c r="Z4" s="30">
        <v>2.0</v>
      </c>
      <c r="AA4" s="30">
        <v>2.0</v>
      </c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50" t="s">
        <v>104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1</v>
      </c>
      <c r="K5" s="27">
        <f t="array" ref="K5">IF(MAX(FREQUENCY(IF(S5:AL5&gt;0,COLUMN(S5:AL5)),IF(S5:AL5&lt;=0,COLUMN(S5:AL5))))&gt;4,1,0)</f>
        <v>1</v>
      </c>
      <c r="L5" s="27"/>
      <c r="M5" s="27"/>
      <c r="N5" s="28"/>
      <c r="O5" s="28"/>
      <c r="P5" s="28"/>
      <c r="Q5" s="29">
        <f t="shared" si="2"/>
        <v>26</v>
      </c>
      <c r="R5" s="29" t="str">
        <f t="shared" si="3"/>
        <v>-Three-Star Wonder, Consistency Is Key, </v>
      </c>
      <c r="S5" s="30">
        <v>2.0</v>
      </c>
      <c r="T5" s="30">
        <v>1.0</v>
      </c>
      <c r="U5" s="30">
        <v>1.0</v>
      </c>
      <c r="V5" s="30">
        <v>3.0</v>
      </c>
      <c r="W5" s="30">
        <v>3.0</v>
      </c>
      <c r="X5" s="30">
        <v>3.0</v>
      </c>
      <c r="Y5" s="30">
        <v>2.0</v>
      </c>
      <c r="Z5" s="30">
        <v>3.0</v>
      </c>
      <c r="AA5" s="30">
        <v>2.0</v>
      </c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50" t="s">
        <v>105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1</v>
      </c>
      <c r="L6" s="27"/>
      <c r="M6" s="27"/>
      <c r="N6" s="28"/>
      <c r="O6" s="28"/>
      <c r="P6" s="28"/>
      <c r="Q6" s="29">
        <f t="shared" si="2"/>
        <v>18</v>
      </c>
      <c r="R6" s="29" t="str">
        <f t="shared" si="3"/>
        <v>-Consistency Is Key, </v>
      </c>
      <c r="S6" s="30">
        <v>2.0</v>
      </c>
      <c r="T6" s="30">
        <v>1.0</v>
      </c>
      <c r="U6" s="30">
        <v>1.0</v>
      </c>
      <c r="V6" s="30">
        <v>2.0</v>
      </c>
      <c r="W6" s="30">
        <v>2.0</v>
      </c>
      <c r="X6" s="30">
        <v>3.0</v>
      </c>
      <c r="Y6" s="30">
        <v>0.0</v>
      </c>
      <c r="Z6" s="30">
        <v>2.0</v>
      </c>
      <c r="AA6" s="30">
        <v>2.0</v>
      </c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50" t="s">
        <v>106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1</v>
      </c>
      <c r="K7" s="27">
        <f t="array" ref="K7">IF(MAX(FREQUENCY(IF(S7:AL7&gt;0,COLUMN(S7:AL7)),IF(S7:AL7&lt;=0,COLUMN(S7:AL7))))&gt;4,1,0)</f>
        <v>1</v>
      </c>
      <c r="L7" s="27"/>
      <c r="M7" s="27"/>
      <c r="N7" s="28"/>
      <c r="O7" s="28"/>
      <c r="P7" s="28"/>
      <c r="Q7" s="29">
        <f t="shared" si="2"/>
        <v>23</v>
      </c>
      <c r="R7" s="29" t="str">
        <f t="shared" si="3"/>
        <v>-Three-Star Wonder, Consistency Is Key, </v>
      </c>
      <c r="S7" s="30">
        <v>0.0</v>
      </c>
      <c r="T7" s="30">
        <v>1.0</v>
      </c>
      <c r="U7" s="30">
        <v>1.0</v>
      </c>
      <c r="V7" s="30">
        <v>3.0</v>
      </c>
      <c r="W7" s="30">
        <v>3.0</v>
      </c>
      <c r="X7" s="30">
        <v>3.0</v>
      </c>
      <c r="Y7" s="30">
        <v>3.0</v>
      </c>
      <c r="Z7" s="30">
        <v>3.0</v>
      </c>
      <c r="AA7" s="30">
        <v>0.0</v>
      </c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51" t="s">
        <v>107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1</v>
      </c>
      <c r="K8" s="27">
        <f t="array" ref="K8">IF(MAX(FREQUENCY(IF(S8:AL8&gt;0,COLUMN(S8:AL8)),IF(S8:AL8&lt;=0,COLUMN(S8:AL8))))&gt;4,1,0)</f>
        <v>1</v>
      </c>
      <c r="L8" s="27"/>
      <c r="M8" s="27"/>
      <c r="N8" s="28"/>
      <c r="O8" s="28"/>
      <c r="P8" s="28"/>
      <c r="Q8" s="29">
        <f t="shared" si="2"/>
        <v>28</v>
      </c>
      <c r="R8" s="29" t="str">
        <f t="shared" si="3"/>
        <v>-Three-Star Wonder, Consistency Is Key, </v>
      </c>
      <c r="S8" s="30">
        <v>3.0</v>
      </c>
      <c r="T8" s="30">
        <v>1.0</v>
      </c>
      <c r="U8" s="30">
        <v>1.0</v>
      </c>
      <c r="V8" s="30">
        <v>3.0</v>
      </c>
      <c r="W8" s="30">
        <v>3.0</v>
      </c>
      <c r="X8" s="30">
        <v>3.0</v>
      </c>
      <c r="Y8" s="30">
        <v>3.0</v>
      </c>
      <c r="Z8" s="30">
        <v>2.0</v>
      </c>
      <c r="AA8" s="30">
        <v>3.0</v>
      </c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50" t="s">
        <v>108</v>
      </c>
      <c r="B9" s="26"/>
      <c r="C9" s="42">
        <v>1.0</v>
      </c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1</v>
      </c>
      <c r="L9" s="27"/>
      <c r="M9" s="27"/>
      <c r="N9" s="28"/>
      <c r="O9" s="28"/>
      <c r="P9" s="28"/>
      <c r="Q9" s="29">
        <f t="shared" si="2"/>
        <v>22</v>
      </c>
      <c r="R9" s="29" t="str">
        <f t="shared" si="3"/>
        <v>-I Say Hi, Consistency Is Key, </v>
      </c>
      <c r="S9" s="30">
        <v>3.0</v>
      </c>
      <c r="T9" s="30">
        <v>1.0</v>
      </c>
      <c r="U9" s="30">
        <v>1.0</v>
      </c>
      <c r="V9" s="30">
        <v>2.0</v>
      </c>
      <c r="W9" s="30">
        <v>2.0</v>
      </c>
      <c r="X9" s="30">
        <v>2.0</v>
      </c>
      <c r="Y9" s="30">
        <v>2.0</v>
      </c>
      <c r="Z9" s="30">
        <v>2.0</v>
      </c>
      <c r="AA9" s="30">
        <v>3.0</v>
      </c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50" t="s">
        <v>109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1</v>
      </c>
      <c r="L10" s="27"/>
      <c r="M10" s="27"/>
      <c r="N10" s="28"/>
      <c r="O10" s="28"/>
      <c r="P10" s="28"/>
      <c r="Q10" s="29">
        <f t="shared" si="2"/>
        <v>16</v>
      </c>
      <c r="R10" s="29" t="str">
        <f t="shared" si="3"/>
        <v>-Consistency Is Key, </v>
      </c>
      <c r="S10" s="30">
        <v>1.0</v>
      </c>
      <c r="T10" s="30">
        <v>1.0</v>
      </c>
      <c r="U10" s="30">
        <v>1.0</v>
      </c>
      <c r="V10" s="30">
        <v>2.0</v>
      </c>
      <c r="W10" s="30">
        <v>2.0</v>
      </c>
      <c r="X10" s="30">
        <v>1.0</v>
      </c>
      <c r="Y10" s="30">
        <v>2.0</v>
      </c>
      <c r="Z10" s="30">
        <v>3.0</v>
      </c>
      <c r="AA10" s="30">
        <v>0.0</v>
      </c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50" t="s">
        <v>110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1</v>
      </c>
      <c r="K11" s="27">
        <f t="array" ref="K11">IF(MAX(FREQUENCY(IF(S11:AL11&gt;0,COLUMN(S11:AL11)),IF(S11:AL11&lt;=0,COLUMN(S11:AL11))))&gt;4,1,0)</f>
        <v>1</v>
      </c>
      <c r="L11" s="27"/>
      <c r="M11" s="27"/>
      <c r="N11" s="28"/>
      <c r="O11" s="28"/>
      <c r="P11" s="28"/>
      <c r="Q11" s="29">
        <f t="shared" si="2"/>
        <v>26</v>
      </c>
      <c r="R11" s="29" t="str">
        <f t="shared" si="3"/>
        <v>-Three-Star Wonder, Consistency Is Key, </v>
      </c>
      <c r="S11" s="30">
        <v>1.0</v>
      </c>
      <c r="T11" s="30">
        <v>1.0</v>
      </c>
      <c r="U11" s="30">
        <v>1.0</v>
      </c>
      <c r="V11" s="30">
        <v>2.0</v>
      </c>
      <c r="W11" s="30">
        <v>3.0</v>
      </c>
      <c r="X11" s="30">
        <v>3.0</v>
      </c>
      <c r="Y11" s="30">
        <v>3.0</v>
      </c>
      <c r="Z11" s="30">
        <v>3.0</v>
      </c>
      <c r="AA11" s="30">
        <v>3.0</v>
      </c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50" t="s">
        <v>111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1</v>
      </c>
      <c r="L12" s="27"/>
      <c r="M12" s="27"/>
      <c r="N12" s="28"/>
      <c r="O12" s="28"/>
      <c r="P12" s="28"/>
      <c r="Q12" s="29">
        <f t="shared" si="2"/>
        <v>18</v>
      </c>
      <c r="R12" s="29" t="str">
        <f t="shared" si="3"/>
        <v>-Consistency Is Key, </v>
      </c>
      <c r="S12" s="30">
        <v>1.0</v>
      </c>
      <c r="T12" s="30">
        <v>1.0</v>
      </c>
      <c r="U12" s="30">
        <v>1.0</v>
      </c>
      <c r="V12" s="30">
        <v>2.0</v>
      </c>
      <c r="W12" s="30">
        <v>2.0</v>
      </c>
      <c r="X12" s="30">
        <v>2.0</v>
      </c>
      <c r="Y12" s="30">
        <v>2.0</v>
      </c>
      <c r="Z12" s="30">
        <v>2.0</v>
      </c>
      <c r="AA12" s="30">
        <v>2.0</v>
      </c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50" t="s">
        <v>112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1</v>
      </c>
      <c r="L13" s="27"/>
      <c r="M13" s="27"/>
      <c r="N13" s="28"/>
      <c r="O13" s="28"/>
      <c r="P13" s="28"/>
      <c r="Q13" s="29">
        <f t="shared" si="2"/>
        <v>18</v>
      </c>
      <c r="R13" s="29" t="str">
        <f t="shared" si="3"/>
        <v>-Consistency Is Key, </v>
      </c>
      <c r="S13" s="30">
        <v>0.0</v>
      </c>
      <c r="T13" s="30">
        <v>1.0</v>
      </c>
      <c r="U13" s="30">
        <v>1.0</v>
      </c>
      <c r="V13" s="30">
        <v>2.0</v>
      </c>
      <c r="W13" s="30">
        <v>2.0</v>
      </c>
      <c r="X13" s="30">
        <v>3.0</v>
      </c>
      <c r="Y13" s="30">
        <v>2.0</v>
      </c>
      <c r="Z13" s="30">
        <v>3.0</v>
      </c>
      <c r="AA13" s="30">
        <v>1.0</v>
      </c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50" t="s">
        <v>113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1</v>
      </c>
      <c r="K14" s="27">
        <f t="array" ref="K14">IF(MAX(FREQUENCY(IF(S14:AL14&gt;0,COLUMN(S14:AL14)),IF(S14:AL14&lt;=0,COLUMN(S14:AL14))))&gt;4,1,0)</f>
        <v>1</v>
      </c>
      <c r="L14" s="27"/>
      <c r="M14" s="27"/>
      <c r="N14" s="28"/>
      <c r="O14" s="28"/>
      <c r="P14" s="28"/>
      <c r="Q14" s="29">
        <f t="shared" si="2"/>
        <v>26</v>
      </c>
      <c r="R14" s="29" t="str">
        <f t="shared" si="3"/>
        <v>-Three-Star Wonder, Consistency Is Key, </v>
      </c>
      <c r="S14" s="30">
        <v>3.0</v>
      </c>
      <c r="T14" s="30">
        <v>1.0</v>
      </c>
      <c r="U14" s="30">
        <v>1.0</v>
      </c>
      <c r="V14" s="30">
        <v>2.0</v>
      </c>
      <c r="W14" s="30">
        <v>2.0</v>
      </c>
      <c r="X14" s="30">
        <v>3.0</v>
      </c>
      <c r="Y14" s="30">
        <v>3.0</v>
      </c>
      <c r="Z14" s="30">
        <v>2.0</v>
      </c>
      <c r="AA14" s="30">
        <v>3.0</v>
      </c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52" t="s">
        <v>114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1</v>
      </c>
      <c r="L15" s="27"/>
      <c r="M15" s="27"/>
      <c r="N15" s="28"/>
      <c r="O15" s="28"/>
      <c r="P15" s="28"/>
      <c r="Q15" s="29">
        <f t="shared" si="2"/>
        <v>17</v>
      </c>
      <c r="R15" s="29" t="str">
        <f t="shared" si="3"/>
        <v>-Consistency Is Key, </v>
      </c>
      <c r="S15" s="30">
        <v>1.0</v>
      </c>
      <c r="T15" s="30">
        <v>1.0</v>
      </c>
      <c r="U15" s="30">
        <v>1.0</v>
      </c>
      <c r="V15" s="30">
        <v>2.0</v>
      </c>
      <c r="W15" s="30">
        <v>2.0</v>
      </c>
      <c r="X15" s="30">
        <v>3.0</v>
      </c>
      <c r="Y15" s="30">
        <v>2.0</v>
      </c>
      <c r="Z15" s="30">
        <v>2.0</v>
      </c>
      <c r="AA15" s="30">
        <v>0.0</v>
      </c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50" t="s">
        <v>115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1</v>
      </c>
      <c r="L16" s="27"/>
      <c r="M16" s="27"/>
      <c r="N16" s="28"/>
      <c r="O16" s="28"/>
      <c r="P16" s="28"/>
      <c r="Q16" s="29">
        <f t="shared" si="2"/>
        <v>13</v>
      </c>
      <c r="R16" s="29" t="str">
        <f t="shared" si="3"/>
        <v>-Consistency Is Key, </v>
      </c>
      <c r="S16" s="30">
        <v>1.0</v>
      </c>
      <c r="T16" s="30">
        <v>1.0</v>
      </c>
      <c r="U16" s="30">
        <v>1.0</v>
      </c>
      <c r="V16" s="30">
        <v>1.0</v>
      </c>
      <c r="W16" s="30">
        <v>1.0</v>
      </c>
      <c r="X16" s="30">
        <v>1.0</v>
      </c>
      <c r="Y16" s="30">
        <v>2.0</v>
      </c>
      <c r="Z16" s="30">
        <v>2.0</v>
      </c>
      <c r="AA16" s="30">
        <v>0.0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</row>
    <row r="17" ht="14.25" customHeight="1">
      <c r="A17" s="50" t="s">
        <v>116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1</v>
      </c>
      <c r="L17" s="27"/>
      <c r="M17" s="27"/>
      <c r="N17" s="28"/>
      <c r="O17" s="28"/>
      <c r="P17" s="28"/>
      <c r="Q17" s="29">
        <f t="shared" si="2"/>
        <v>17</v>
      </c>
      <c r="R17" s="29" t="str">
        <f t="shared" si="3"/>
        <v>-Consistency Is Key, </v>
      </c>
      <c r="S17" s="30">
        <v>2.0</v>
      </c>
      <c r="T17" s="30">
        <v>0.0</v>
      </c>
      <c r="U17" s="30">
        <v>1.0</v>
      </c>
      <c r="V17" s="30">
        <v>2.0</v>
      </c>
      <c r="W17" s="30">
        <v>2.0</v>
      </c>
      <c r="X17" s="30">
        <v>2.0</v>
      </c>
      <c r="Y17" s="30">
        <v>3.0</v>
      </c>
      <c r="Z17" s="30">
        <v>2.0</v>
      </c>
      <c r="AA17" s="30">
        <v>0.0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50" t="s">
        <v>117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1</v>
      </c>
      <c r="K18" s="27">
        <f t="array" ref="K18">IF(MAX(FREQUENCY(IF(S18:AL18&gt;0,COLUMN(S18:AL18)),IF(S18:AL18&lt;=0,COLUMN(S18:AL18))))&gt;4,1,0)</f>
        <v>1</v>
      </c>
      <c r="L18" s="27"/>
      <c r="M18" s="27"/>
      <c r="N18" s="28"/>
      <c r="O18" s="28"/>
      <c r="P18" s="28"/>
      <c r="Q18" s="29">
        <f t="shared" si="2"/>
        <v>21</v>
      </c>
      <c r="R18" s="29" t="str">
        <f t="shared" si="3"/>
        <v>-Three-Star Wonder, Consistency Is Key, </v>
      </c>
      <c r="S18" s="30">
        <v>2.0</v>
      </c>
      <c r="T18" s="30">
        <v>0.0</v>
      </c>
      <c r="U18" s="30">
        <v>0.0</v>
      </c>
      <c r="V18" s="30">
        <v>2.0</v>
      </c>
      <c r="W18" s="30">
        <v>2.0</v>
      </c>
      <c r="X18" s="30">
        <v>3.0</v>
      </c>
      <c r="Y18" s="30">
        <v>3.0</v>
      </c>
      <c r="Z18" s="30">
        <v>3.0</v>
      </c>
      <c r="AA18" s="30">
        <v>0.0</v>
      </c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50" t="s">
        <v>118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12</v>
      </c>
      <c r="R19" s="29" t="str">
        <f t="shared" si="3"/>
        <v>-</v>
      </c>
      <c r="S19" s="30">
        <v>1.0</v>
      </c>
      <c r="T19" s="30">
        <v>1.0</v>
      </c>
      <c r="U19" s="30">
        <v>1.0</v>
      </c>
      <c r="V19" s="31"/>
      <c r="W19" s="30">
        <v>2.0</v>
      </c>
      <c r="X19" s="30">
        <v>3.0</v>
      </c>
      <c r="Y19" s="30">
        <v>2.0</v>
      </c>
      <c r="Z19" s="30">
        <v>2.0</v>
      </c>
      <c r="AA19" s="30">
        <v>0.0</v>
      </c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50" t="s">
        <v>119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1</v>
      </c>
      <c r="L20" s="27"/>
      <c r="M20" s="27"/>
      <c r="N20" s="28"/>
      <c r="O20" s="28"/>
      <c r="P20" s="28"/>
      <c r="Q20" s="29">
        <f t="shared" si="2"/>
        <v>17</v>
      </c>
      <c r="R20" s="29" t="str">
        <f t="shared" si="3"/>
        <v>-Consistency Is Key, </v>
      </c>
      <c r="S20" s="30">
        <v>3.0</v>
      </c>
      <c r="T20" s="30">
        <v>0.0</v>
      </c>
      <c r="U20" s="30">
        <v>1.0</v>
      </c>
      <c r="V20" s="30">
        <v>2.0</v>
      </c>
      <c r="W20" s="30">
        <v>2.0</v>
      </c>
      <c r="X20" s="30">
        <v>2.0</v>
      </c>
      <c r="Y20" s="30">
        <v>2.0</v>
      </c>
      <c r="Z20" s="30">
        <v>2.0</v>
      </c>
      <c r="AA20" s="30">
        <v>0.0</v>
      </c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50" t="s">
        <v>120</v>
      </c>
      <c r="B21" s="26"/>
      <c r="C21" s="26"/>
      <c r="D21" s="26"/>
      <c r="E21" s="26"/>
      <c r="F21" s="26"/>
      <c r="G21" s="26"/>
      <c r="H21" s="27"/>
      <c r="I21" s="27">
        <v>1.0</v>
      </c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14</v>
      </c>
      <c r="R21" s="29" t="str">
        <f t="shared" si="3"/>
        <v>-Math Ambassador, </v>
      </c>
      <c r="S21" s="30">
        <v>1.0</v>
      </c>
      <c r="T21" s="30">
        <v>1.0</v>
      </c>
      <c r="U21" s="30">
        <v>1.0</v>
      </c>
      <c r="V21" s="31"/>
      <c r="W21" s="30">
        <v>3.0</v>
      </c>
      <c r="X21" s="30">
        <v>0.0</v>
      </c>
      <c r="Y21" s="30">
        <v>2.0</v>
      </c>
      <c r="Z21" s="30">
        <v>2.0</v>
      </c>
      <c r="AA21" s="30">
        <v>1.0</v>
      </c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50" t="s">
        <v>121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1</v>
      </c>
      <c r="L22" s="27"/>
      <c r="M22" s="27"/>
      <c r="N22" s="28"/>
      <c r="O22" s="28"/>
      <c r="P22" s="28"/>
      <c r="Q22" s="29">
        <f t="shared" si="2"/>
        <v>21</v>
      </c>
      <c r="R22" s="29" t="str">
        <f t="shared" si="3"/>
        <v>-Consistency Is Key, </v>
      </c>
      <c r="S22" s="30">
        <v>3.0</v>
      </c>
      <c r="T22" s="30">
        <v>1.0</v>
      </c>
      <c r="U22" s="30">
        <v>1.0</v>
      </c>
      <c r="V22" s="30">
        <v>2.0</v>
      </c>
      <c r="W22" s="30">
        <v>2.0</v>
      </c>
      <c r="X22" s="30">
        <v>3.0</v>
      </c>
      <c r="Y22" s="30">
        <v>2.0</v>
      </c>
      <c r="Z22" s="30">
        <v>2.0</v>
      </c>
      <c r="AA22" s="30">
        <v>2.0</v>
      </c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50" t="s">
        <v>122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1</v>
      </c>
      <c r="L23" s="27"/>
      <c r="M23" s="27"/>
      <c r="N23" s="28"/>
      <c r="O23" s="28"/>
      <c r="P23" s="28"/>
      <c r="Q23" s="29">
        <f t="shared" si="2"/>
        <v>21</v>
      </c>
      <c r="R23" s="29" t="str">
        <f t="shared" si="3"/>
        <v>-Consistency Is Key, </v>
      </c>
      <c r="S23" s="30">
        <v>3.0</v>
      </c>
      <c r="T23" s="30">
        <v>1.0</v>
      </c>
      <c r="U23" s="30">
        <v>1.0</v>
      </c>
      <c r="V23" s="30">
        <v>2.0</v>
      </c>
      <c r="W23" s="30">
        <v>2.0</v>
      </c>
      <c r="X23" s="30">
        <v>2.0</v>
      </c>
      <c r="Y23" s="30">
        <v>2.0</v>
      </c>
      <c r="Z23" s="30">
        <v>3.0</v>
      </c>
      <c r="AA23" s="30">
        <v>2.0</v>
      </c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A24" s="50" t="s">
        <v>123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11</v>
      </c>
      <c r="R24" s="29" t="str">
        <f t="shared" si="3"/>
        <v>-</v>
      </c>
      <c r="S24" s="30">
        <v>2.0</v>
      </c>
      <c r="T24" s="30">
        <v>1.0</v>
      </c>
      <c r="U24" s="30">
        <v>0.0</v>
      </c>
      <c r="V24" s="31"/>
      <c r="W24" s="30">
        <v>2.0</v>
      </c>
      <c r="X24" s="30">
        <v>3.0</v>
      </c>
      <c r="Y24" s="30">
        <v>1.0</v>
      </c>
      <c r="Z24" s="30">
        <v>2.0</v>
      </c>
      <c r="AA24" s="30">
        <v>0.0</v>
      </c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</row>
    <row r="25" ht="14.25" customHeight="1">
      <c r="A25" s="50" t="s">
        <v>124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1</v>
      </c>
      <c r="L25" s="27"/>
      <c r="M25" s="27"/>
      <c r="N25" s="28"/>
      <c r="O25" s="28"/>
      <c r="P25" s="28"/>
      <c r="Q25" s="29">
        <f t="shared" si="2"/>
        <v>15</v>
      </c>
      <c r="R25" s="29" t="str">
        <f t="shared" si="3"/>
        <v>-Consistency Is Key, </v>
      </c>
      <c r="S25" s="30">
        <v>0.0</v>
      </c>
      <c r="T25" s="30">
        <v>0.0</v>
      </c>
      <c r="U25" s="30">
        <v>1.0</v>
      </c>
      <c r="V25" s="30">
        <v>2.0</v>
      </c>
      <c r="W25" s="30">
        <v>2.0</v>
      </c>
      <c r="X25" s="30">
        <v>3.0</v>
      </c>
      <c r="Y25" s="30">
        <v>2.0</v>
      </c>
      <c r="Z25" s="30">
        <v>2.0</v>
      </c>
      <c r="AA25" s="30">
        <v>0.0</v>
      </c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</row>
    <row r="26" ht="14.25" customHeight="1">
      <c r="A26" s="50" t="s">
        <v>125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1</v>
      </c>
      <c r="L26" s="27"/>
      <c r="M26" s="27"/>
      <c r="N26" s="28"/>
      <c r="O26" s="28"/>
      <c r="P26" s="28"/>
      <c r="Q26" s="29">
        <f t="shared" si="2"/>
        <v>20</v>
      </c>
      <c r="R26" s="29" t="str">
        <f t="shared" si="3"/>
        <v>-Consistency Is Key, </v>
      </c>
      <c r="S26" s="30">
        <v>1.0</v>
      </c>
      <c r="T26" s="30">
        <v>1.0</v>
      </c>
      <c r="U26" s="30">
        <v>1.0</v>
      </c>
      <c r="V26" s="30">
        <v>2.0</v>
      </c>
      <c r="W26" s="30">
        <v>2.0</v>
      </c>
      <c r="X26" s="30">
        <v>2.0</v>
      </c>
      <c r="Y26" s="30">
        <v>3.0</v>
      </c>
      <c r="Z26" s="30">
        <v>3.0</v>
      </c>
      <c r="AA26" s="30">
        <v>2.0</v>
      </c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</row>
    <row r="27" ht="14.25" customHeight="1">
      <c r="A27" s="50" t="s">
        <v>126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0</v>
      </c>
      <c r="K27" s="27">
        <f t="array" ref="K27">IF(MAX(FREQUENCY(IF(S27:AL27&gt;0,COLUMN(S27:AL27)),IF(S27:AL27&lt;=0,COLUMN(S27:AL27))))&gt;4,1,0)</f>
        <v>1</v>
      </c>
      <c r="L27" s="27"/>
      <c r="M27" s="27"/>
      <c r="N27" s="28"/>
      <c r="O27" s="28"/>
      <c r="P27" s="28"/>
      <c r="Q27" s="29">
        <f t="shared" si="2"/>
        <v>21</v>
      </c>
      <c r="R27" s="29" t="str">
        <f t="shared" si="3"/>
        <v>-Consistency Is Key, </v>
      </c>
      <c r="S27" s="30">
        <v>3.0</v>
      </c>
      <c r="T27" s="30">
        <v>1.0</v>
      </c>
      <c r="U27" s="30">
        <v>1.0</v>
      </c>
      <c r="V27" s="30">
        <v>2.0</v>
      </c>
      <c r="W27" s="30">
        <v>2.0</v>
      </c>
      <c r="X27" s="30">
        <v>2.0</v>
      </c>
      <c r="Y27" s="30">
        <v>2.0</v>
      </c>
      <c r="Z27" s="30">
        <v>3.0</v>
      </c>
      <c r="AA27" s="30">
        <v>2.0</v>
      </c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</row>
    <row r="28" ht="14.25" customHeight="1">
      <c r="A28" s="50" t="s">
        <v>127</v>
      </c>
      <c r="B28" s="26"/>
      <c r="C28" s="42">
        <v>1.0</v>
      </c>
      <c r="D28" s="26"/>
      <c r="E28" s="26"/>
      <c r="F28" s="26"/>
      <c r="G28" s="26"/>
      <c r="H28" s="27"/>
      <c r="I28" s="27"/>
      <c r="J28" s="27">
        <f t="shared" si="1"/>
        <v>0</v>
      </c>
      <c r="K28" s="27">
        <f t="array" ref="K28">IF(MAX(FREQUENCY(IF(S28:AL28&gt;0,COLUMN(S28:AL28)),IF(S28:AL28&lt;=0,COLUMN(S28:AL28))))&gt;4,1,0)</f>
        <v>1</v>
      </c>
      <c r="L28" s="27"/>
      <c r="M28" s="27"/>
      <c r="N28" s="28"/>
      <c r="O28" s="28"/>
      <c r="P28" s="28"/>
      <c r="Q28" s="29">
        <f t="shared" si="2"/>
        <v>20</v>
      </c>
      <c r="R28" s="29" t="str">
        <f t="shared" si="3"/>
        <v>-I Say Hi, Consistency Is Key, </v>
      </c>
      <c r="S28" s="30">
        <v>3.0</v>
      </c>
      <c r="T28" s="30">
        <v>1.0</v>
      </c>
      <c r="U28" s="30">
        <v>1.0</v>
      </c>
      <c r="V28" s="30">
        <v>2.0</v>
      </c>
      <c r="W28" s="30">
        <v>2.0</v>
      </c>
      <c r="X28" s="30">
        <v>2.0</v>
      </c>
      <c r="Y28" s="30">
        <v>3.0</v>
      </c>
      <c r="Z28" s="30">
        <v>2.0</v>
      </c>
      <c r="AA28" s="30">
        <v>0.0</v>
      </c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</row>
    <row r="29" ht="14.25" customHeight="1">
      <c r="A29" s="50" t="s">
        <v>128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1</v>
      </c>
      <c r="L29" s="27"/>
      <c r="M29" s="27"/>
      <c r="N29" s="28"/>
      <c r="O29" s="28"/>
      <c r="P29" s="28"/>
      <c r="Q29" s="29">
        <f t="shared" si="2"/>
        <v>12</v>
      </c>
      <c r="R29" s="29" t="str">
        <f t="shared" si="3"/>
        <v>-Consistency Is Key, </v>
      </c>
      <c r="S29" s="30">
        <v>1.0</v>
      </c>
      <c r="T29" s="30">
        <v>1.0</v>
      </c>
      <c r="U29" s="30">
        <v>1.0</v>
      </c>
      <c r="V29" s="30">
        <v>2.0</v>
      </c>
      <c r="W29" s="30">
        <v>2.0</v>
      </c>
      <c r="X29" s="30">
        <v>1.0</v>
      </c>
      <c r="Y29" s="30">
        <v>0.0</v>
      </c>
      <c r="Z29" s="30">
        <v>1.0</v>
      </c>
      <c r="AA29" s="30">
        <v>0.0</v>
      </c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</row>
    <row r="30" ht="14.25" customHeight="1">
      <c r="A30" s="50" t="s">
        <v>129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1</v>
      </c>
      <c r="L30" s="27"/>
      <c r="M30" s="27"/>
      <c r="N30" s="28"/>
      <c r="O30" s="28"/>
      <c r="P30" s="28"/>
      <c r="Q30" s="29">
        <f t="shared" si="2"/>
        <v>17</v>
      </c>
      <c r="R30" s="29" t="str">
        <f t="shared" si="3"/>
        <v>-Consistency Is Key, </v>
      </c>
      <c r="S30" s="30">
        <v>3.0</v>
      </c>
      <c r="T30" s="30">
        <v>1.0</v>
      </c>
      <c r="U30" s="30">
        <v>0.0</v>
      </c>
      <c r="V30" s="30">
        <v>1.0</v>
      </c>
      <c r="W30" s="30">
        <v>1.0</v>
      </c>
      <c r="X30" s="30">
        <v>2.0</v>
      </c>
      <c r="Y30" s="30">
        <v>2.0</v>
      </c>
      <c r="Z30" s="30">
        <v>3.0</v>
      </c>
      <c r="AA30" s="30">
        <v>1.0</v>
      </c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</row>
    <row r="31" ht="14.25" customHeight="1">
      <c r="A31" s="50" t="s">
        <v>130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1</v>
      </c>
      <c r="K31" s="27">
        <f t="array" ref="K31">IF(MAX(FREQUENCY(IF(S31:AL31&gt;0,COLUMN(S31:AL31)),IF(S31:AL31&lt;=0,COLUMN(S31:AL31))))&gt;4,1,0)</f>
        <v>1</v>
      </c>
      <c r="L31" s="27"/>
      <c r="M31" s="27"/>
      <c r="N31" s="28"/>
      <c r="O31" s="28"/>
      <c r="P31" s="28"/>
      <c r="Q31" s="29">
        <f t="shared" si="2"/>
        <v>22</v>
      </c>
      <c r="R31" s="29" t="str">
        <f t="shared" si="3"/>
        <v>-Three-Star Wonder, Consistency Is Key, </v>
      </c>
      <c r="S31" s="30">
        <v>3.0</v>
      </c>
      <c r="T31" s="30">
        <v>1.0</v>
      </c>
      <c r="U31" s="30">
        <v>1.0</v>
      </c>
      <c r="V31" s="31"/>
      <c r="W31" s="30">
        <v>2.0</v>
      </c>
      <c r="X31" s="30">
        <v>3.0</v>
      </c>
      <c r="Y31" s="30">
        <v>2.0</v>
      </c>
      <c r="Z31" s="30">
        <v>3.0</v>
      </c>
      <c r="AA31" s="30">
        <v>1.0</v>
      </c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</row>
    <row r="32" ht="14.25" customHeight="1">
      <c r="A32" s="52" t="s">
        <v>131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1</v>
      </c>
      <c r="L32" s="27"/>
      <c r="M32" s="27"/>
      <c r="N32" s="28"/>
      <c r="O32" s="28"/>
      <c r="P32" s="28"/>
      <c r="Q32" s="29">
        <f t="shared" si="2"/>
        <v>15</v>
      </c>
      <c r="R32" s="29" t="str">
        <f t="shared" si="3"/>
        <v>-Consistency Is Key, </v>
      </c>
      <c r="S32" s="30">
        <v>1.0</v>
      </c>
      <c r="T32" s="30">
        <v>1.0</v>
      </c>
      <c r="U32" s="30">
        <v>1.0</v>
      </c>
      <c r="V32" s="30">
        <v>2.0</v>
      </c>
      <c r="W32" s="30">
        <v>2.0</v>
      </c>
      <c r="X32" s="30">
        <v>1.0</v>
      </c>
      <c r="Y32" s="30">
        <v>0.0</v>
      </c>
      <c r="Z32" s="30">
        <v>2.0</v>
      </c>
      <c r="AA32" s="30">
        <v>2.0</v>
      </c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</row>
    <row r="33" ht="14.25" customHeight="1">
      <c r="A33" s="50" t="s">
        <v>132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1</v>
      </c>
      <c r="L33" s="27"/>
      <c r="M33" s="27"/>
      <c r="N33" s="28"/>
      <c r="O33" s="28"/>
      <c r="P33" s="28"/>
      <c r="Q33" s="29">
        <f t="shared" si="2"/>
        <v>19</v>
      </c>
      <c r="R33" s="29" t="str">
        <f t="shared" si="3"/>
        <v>-Consistency Is Key, </v>
      </c>
      <c r="S33" s="30">
        <v>2.0</v>
      </c>
      <c r="T33" s="30">
        <v>1.0</v>
      </c>
      <c r="U33" s="30">
        <v>1.0</v>
      </c>
      <c r="V33" s="30">
        <v>3.0</v>
      </c>
      <c r="W33" s="30">
        <v>3.0</v>
      </c>
      <c r="X33" s="30">
        <v>2.0</v>
      </c>
      <c r="Y33" s="30">
        <v>0.0</v>
      </c>
      <c r="Z33" s="30">
        <v>2.0</v>
      </c>
      <c r="AA33" s="30">
        <v>2.0</v>
      </c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</row>
    <row r="34" ht="14.25" customHeight="1">
      <c r="A34" s="50" t="s">
        <v>133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10</v>
      </c>
      <c r="R34" s="29" t="str">
        <f t="shared" si="3"/>
        <v>-</v>
      </c>
      <c r="S34" s="30">
        <v>1.0</v>
      </c>
      <c r="T34" s="30">
        <v>1.0</v>
      </c>
      <c r="U34" s="30">
        <v>1.0</v>
      </c>
      <c r="V34" s="31"/>
      <c r="W34" s="30">
        <v>2.0</v>
      </c>
      <c r="X34" s="30">
        <v>2.0</v>
      </c>
      <c r="Y34" s="30">
        <v>2.0</v>
      </c>
      <c r="Z34" s="30">
        <v>0.0</v>
      </c>
      <c r="AA34" s="30">
        <v>1.0</v>
      </c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</row>
    <row r="35" ht="14.25" customHeight="1">
      <c r="A35" s="50" t="s">
        <v>134</v>
      </c>
      <c r="B35" s="26"/>
      <c r="C35" s="26"/>
      <c r="D35" s="26"/>
      <c r="E35" s="26"/>
      <c r="F35" s="26"/>
      <c r="G35" s="26"/>
      <c r="H35" s="27"/>
      <c r="I35" s="27"/>
      <c r="J35" s="27">
        <f t="shared" si="1"/>
        <v>1</v>
      </c>
      <c r="K35" s="27">
        <f t="array" ref="K35">IF(MAX(FREQUENCY(IF(S35:AL35&gt;0,COLUMN(S35:AL35)),IF(S35:AL35&lt;=0,COLUMN(S35:AL35))))&gt;4,1,0)</f>
        <v>1</v>
      </c>
      <c r="L35" s="27"/>
      <c r="M35" s="27"/>
      <c r="N35" s="28"/>
      <c r="O35" s="28"/>
      <c r="P35" s="28"/>
      <c r="Q35" s="29">
        <f t="shared" si="2"/>
        <v>22</v>
      </c>
      <c r="R35" s="29" t="str">
        <f t="shared" si="3"/>
        <v>-Three-Star Wonder, Consistency Is Key, </v>
      </c>
      <c r="S35" s="30">
        <v>2.0</v>
      </c>
      <c r="T35" s="30">
        <v>0.0</v>
      </c>
      <c r="U35" s="30">
        <v>1.0</v>
      </c>
      <c r="V35" s="31"/>
      <c r="W35" s="30">
        <v>2.0</v>
      </c>
      <c r="X35" s="30">
        <v>3.0</v>
      </c>
      <c r="Y35" s="30">
        <v>2.0</v>
      </c>
      <c r="Z35" s="30">
        <v>3.0</v>
      </c>
      <c r="AA35" s="30">
        <v>3.0</v>
      </c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</row>
    <row r="36" ht="14.25" customHeight="1">
      <c r="A36" s="50" t="s">
        <v>135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7</v>
      </c>
      <c r="R36" s="29" t="str">
        <f t="shared" si="3"/>
        <v>-</v>
      </c>
      <c r="S36" s="30">
        <v>0.0</v>
      </c>
      <c r="T36" s="30">
        <v>0.0</v>
      </c>
      <c r="U36" s="30">
        <v>1.0</v>
      </c>
      <c r="V36" s="30">
        <v>1.0</v>
      </c>
      <c r="W36" s="30">
        <v>1.0</v>
      </c>
      <c r="X36" s="30">
        <v>0.0</v>
      </c>
      <c r="Y36" s="30">
        <v>2.0</v>
      </c>
      <c r="Z36" s="30">
        <v>2.0</v>
      </c>
      <c r="AA36" s="30">
        <v>0.0</v>
      </c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</row>
    <row r="37" ht="14.25" customHeight="1">
      <c r="A37" s="50" t="s">
        <v>136</v>
      </c>
      <c r="B37" s="26"/>
      <c r="C37" s="42">
        <v>1.0</v>
      </c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6</v>
      </c>
      <c r="R37" s="29" t="str">
        <f t="shared" si="3"/>
        <v>-I Say Hi, </v>
      </c>
      <c r="S37" s="30">
        <v>1.0</v>
      </c>
      <c r="T37" s="30">
        <v>1.0</v>
      </c>
      <c r="U37" s="30">
        <v>1.0</v>
      </c>
      <c r="V37" s="31"/>
      <c r="W37" s="30">
        <v>2.0</v>
      </c>
      <c r="X37" s="30">
        <v>0.0</v>
      </c>
      <c r="Y37" s="30">
        <v>0.0</v>
      </c>
      <c r="Z37" s="30">
        <v>0.0</v>
      </c>
      <c r="AA37" s="30">
        <v>0.0</v>
      </c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</row>
    <row r="38" ht="14.25" customHeight="1">
      <c r="B38" s="2"/>
      <c r="C38" s="3"/>
      <c r="D38" s="3"/>
      <c r="E38" s="3"/>
      <c r="F38" s="3"/>
      <c r="G38" s="3"/>
      <c r="H38" s="3"/>
      <c r="I38" s="37"/>
      <c r="J38" s="38"/>
      <c r="K38" s="38"/>
      <c r="L38" s="38"/>
      <c r="M38" s="39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7"/>
      <c r="J39" s="38"/>
      <c r="K39" s="38"/>
      <c r="L39" s="38"/>
      <c r="M39" s="39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7"/>
      <c r="J40" s="38"/>
      <c r="K40" s="38"/>
      <c r="L40" s="38"/>
      <c r="M40" s="39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7"/>
      <c r="J41" s="38"/>
      <c r="K41" s="38"/>
      <c r="L41" s="38"/>
      <c r="M41" s="39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7"/>
      <c r="J42" s="38"/>
      <c r="K42" s="38"/>
      <c r="L42" s="38"/>
      <c r="M42" s="39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7"/>
      <c r="J43" s="38"/>
      <c r="K43" s="38"/>
      <c r="L43" s="38"/>
      <c r="M43" s="39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3 G1 Computing'!A4</f>
        <v>ABRIELLE</v>
      </c>
      <c r="B2" s="1" t="str">
        <f>'Sec 3 G1 Computing'!R4</f>
        <v>-Math Ambassador, Three-Star Wonder, Consistency Is Key, </v>
      </c>
      <c r="C2" s="1">
        <f>'Sec 3 G1 Computing'!Q4</f>
        <v>29</v>
      </c>
    </row>
    <row r="3" ht="14.25" customHeight="1">
      <c r="A3" s="1" t="str">
        <f>'Sec 3 G1 Computing'!A5</f>
        <v>PEI LING</v>
      </c>
      <c r="B3" s="1" t="str">
        <f>'Sec 3 G1 Computing'!R5</f>
        <v>-Three-Star Wonder, Consistency Is Key, </v>
      </c>
      <c r="C3" s="1">
        <f>'Sec 3 G1 Computing'!Q5</f>
        <v>26</v>
      </c>
    </row>
    <row r="4" ht="14.25" customHeight="1">
      <c r="A4" s="1" t="str">
        <f>'Sec 3 G1 Computing'!A6</f>
        <v>DIANA </v>
      </c>
      <c r="B4" s="1" t="str">
        <f>'Sec 3 G1 Computing'!R6</f>
        <v>-Consistency Is Key, </v>
      </c>
      <c r="C4" s="1">
        <f>'Sec 3 G1 Computing'!Q6</f>
        <v>18</v>
      </c>
    </row>
    <row r="5" ht="14.25" customHeight="1">
      <c r="A5" s="1" t="str">
        <f>'Sec 3 G1 Computing'!A7</f>
        <v>FERYAL </v>
      </c>
      <c r="B5" s="1" t="str">
        <f>'Sec 3 G1 Computing'!R7</f>
        <v>-Three-Star Wonder, Consistency Is Key, </v>
      </c>
      <c r="C5" s="1">
        <f>'Sec 3 G1 Computing'!Q7</f>
        <v>23</v>
      </c>
    </row>
    <row r="6" ht="14.25" customHeight="1">
      <c r="A6" s="1" t="str">
        <f>'Sec 3 G1 Computing'!A8</f>
        <v>FION</v>
      </c>
      <c r="B6" s="1" t="str">
        <f>'Sec 3 G1 Computing'!R8</f>
        <v>-Three-Star Wonder, Consistency Is Key, </v>
      </c>
      <c r="C6" s="1">
        <f>'Sec 3 G1 Computing'!Q8</f>
        <v>28</v>
      </c>
    </row>
    <row r="7" ht="14.25" customHeight="1">
      <c r="A7" s="1" t="str">
        <f>'Sec 3 G1 Computing'!A9</f>
        <v>FREYA</v>
      </c>
      <c r="B7" s="1" t="str">
        <f>'Sec 3 G1 Computing'!R9</f>
        <v>-I Say Hi, Consistency Is Key, </v>
      </c>
      <c r="C7" s="1">
        <f>'Sec 3 G1 Computing'!Q9</f>
        <v>22</v>
      </c>
    </row>
    <row r="8" ht="14.25" customHeight="1">
      <c r="A8" s="1" t="str">
        <f>'Sec 3 G1 Computing'!A10</f>
        <v>REANNE</v>
      </c>
      <c r="B8" s="1" t="str">
        <f>'Sec 3 G1 Computing'!R10</f>
        <v>-Consistency Is Key, </v>
      </c>
      <c r="C8" s="1">
        <f>'Sec 3 G1 Computing'!Q10</f>
        <v>16</v>
      </c>
    </row>
    <row r="9" ht="14.25" customHeight="1">
      <c r="A9" s="1" t="str">
        <f>'Sec 3 G1 Computing'!A11</f>
        <v>JANICE</v>
      </c>
      <c r="B9" s="1" t="str">
        <f>'Sec 3 G1 Computing'!R11</f>
        <v>-Three-Star Wonder, Consistency Is Key, </v>
      </c>
      <c r="C9" s="1">
        <f>'Sec 3 G1 Computing'!Q11</f>
        <v>26</v>
      </c>
    </row>
    <row r="10" ht="14.25" customHeight="1">
      <c r="A10" s="1" t="str">
        <f>'Sec 3 G1 Computing'!A12</f>
        <v>DANIEL</v>
      </c>
      <c r="B10" s="1" t="str">
        <f>'Sec 3 G1 Computing'!R12</f>
        <v>-Consistency Is Key, </v>
      </c>
      <c r="C10" s="1">
        <f>'Sec 3 G1 Computing'!Q12</f>
        <v>18</v>
      </c>
    </row>
    <row r="11" ht="14.25" customHeight="1">
      <c r="A11" s="1" t="str">
        <f>'Sec 3 G1 Computing'!A13</f>
        <v>HOWARD</v>
      </c>
      <c r="B11" s="1" t="str">
        <f>'Sec 3 G1 Computing'!R13</f>
        <v>-Consistency Is Key, </v>
      </c>
      <c r="C11" s="1">
        <f>'Sec 3 G1 Computing'!Q13</f>
        <v>18</v>
      </c>
    </row>
    <row r="12" ht="14.25" customHeight="1">
      <c r="A12" s="1" t="str">
        <f>'Sec 3 G1 Computing'!A14</f>
        <v>JASPER </v>
      </c>
      <c r="B12" s="1" t="str">
        <f>'Sec 3 G1 Computing'!R14</f>
        <v>-Three-Star Wonder, Consistency Is Key, </v>
      </c>
      <c r="C12" s="1">
        <f>'Sec 3 G1 Computing'!Q14</f>
        <v>26</v>
      </c>
    </row>
    <row r="13" ht="14.25" customHeight="1">
      <c r="A13" s="1" t="str">
        <f>'Sec 3 G1 Computing'!A15</f>
        <v>JOLIN </v>
      </c>
      <c r="B13" s="1" t="str">
        <f>'Sec 3 G1 Computing'!R15</f>
        <v>-Consistency Is Key, </v>
      </c>
      <c r="C13" s="1">
        <f>'Sec 3 G1 Computing'!Q15</f>
        <v>17</v>
      </c>
    </row>
    <row r="14" ht="14.25" customHeight="1">
      <c r="A14" s="1" t="str">
        <f>'Sec 3 G1 Computing'!A16</f>
        <v>JUSTINE </v>
      </c>
      <c r="B14" s="1" t="str">
        <f>'Sec 3 G1 Computing'!R16</f>
        <v>-Consistency Is Key, </v>
      </c>
      <c r="C14" s="1">
        <f>'Sec 3 G1 Computing'!Q16</f>
        <v>13</v>
      </c>
    </row>
    <row r="15" ht="14.25" customHeight="1">
      <c r="A15" s="1" t="str">
        <f>'Sec 3 G1 Computing'!A17</f>
        <v>KAY </v>
      </c>
      <c r="B15" s="1" t="str">
        <f>'Sec 3 G1 Computing'!R17</f>
        <v>-Consistency Is Key, </v>
      </c>
      <c r="C15" s="1">
        <f>'Sec 3 G1 Computing'!Q17</f>
        <v>17</v>
      </c>
    </row>
    <row r="16" ht="14.25" customHeight="1">
      <c r="A16" s="1" t="str">
        <f>'Sec 3 G1 Computing'!A18</f>
        <v>VERNICE</v>
      </c>
      <c r="B16" s="1" t="str">
        <f>'Sec 3 G1 Computing'!R18</f>
        <v>-Three-Star Wonder, Consistency Is Key, </v>
      </c>
      <c r="C16" s="1">
        <f>'Sec 3 G1 Computing'!Q18</f>
        <v>21</v>
      </c>
    </row>
    <row r="17" ht="14.25" customHeight="1">
      <c r="A17" s="1" t="str">
        <f>'Sec 3 G1 Computing'!A19</f>
        <v>CHRIS</v>
      </c>
      <c r="B17" s="1" t="str">
        <f>'Sec 3 G1 Computing'!R19</f>
        <v>-</v>
      </c>
      <c r="C17" s="1">
        <f>'Sec 3 G1 Computing'!Q19</f>
        <v>12</v>
      </c>
    </row>
    <row r="18" ht="14.25" customHeight="1">
      <c r="A18" s="1" t="str">
        <f>'Sec 3 G1 Computing'!A20</f>
        <v>KAI FENG</v>
      </c>
      <c r="B18" s="1" t="str">
        <f>'Sec 3 G1 Computing'!R20</f>
        <v>-Consistency Is Key, </v>
      </c>
      <c r="C18" s="1">
        <f>'Sec 3 G1 Computing'!Q20</f>
        <v>17</v>
      </c>
    </row>
    <row r="19" ht="14.25" customHeight="1">
      <c r="A19" s="1" t="str">
        <f>'Sec 3 G1 Computing'!A21</f>
        <v>HANNAH</v>
      </c>
      <c r="B19" s="1" t="str">
        <f>'Sec 3 G1 Computing'!R21</f>
        <v>-Math Ambassador, </v>
      </c>
      <c r="C19" s="1">
        <f>'Sec 3 G1 Computing'!Q21</f>
        <v>14</v>
      </c>
    </row>
    <row r="20" ht="14.25" customHeight="1">
      <c r="A20" s="1" t="str">
        <f>'Sec 3 G1 Computing'!A22</f>
        <v>LEROY</v>
      </c>
      <c r="B20" s="1" t="str">
        <f>'Sec 3 G1 Computing'!R22</f>
        <v>-Consistency Is Key, </v>
      </c>
      <c r="C20" s="1">
        <f>'Sec 3 G1 Computing'!Q22</f>
        <v>21</v>
      </c>
    </row>
    <row r="21" ht="14.25" customHeight="1">
      <c r="A21" s="1" t="str">
        <f>'Sec 3 G1 Computing'!A23</f>
        <v>ELIJAH</v>
      </c>
      <c r="B21" s="1" t="str">
        <f>'Sec 3 G1 Computing'!R23</f>
        <v>-Consistency Is Key, </v>
      </c>
      <c r="C21" s="1">
        <f>'Sec 3 G1 Computing'!Q23</f>
        <v>21</v>
      </c>
    </row>
    <row r="22" ht="14.25" customHeight="1">
      <c r="A22" s="1" t="str">
        <f>'Sec 3 G1 Computing'!A24</f>
        <v>RUBEN</v>
      </c>
      <c r="B22" s="1" t="str">
        <f>'Sec 3 G1 Computing'!R24</f>
        <v>-</v>
      </c>
      <c r="C22" s="1">
        <f>'Sec 3 G1 Computing'!Q24</f>
        <v>11</v>
      </c>
    </row>
    <row r="23" ht="14.25" customHeight="1">
      <c r="A23" s="1" t="str">
        <f>'Sec 3 G1 Computing'!A25</f>
        <v>IAN</v>
      </c>
      <c r="B23" s="1" t="str">
        <f>'Sec 3 G1 Computing'!R25</f>
        <v>-Consistency Is Key, </v>
      </c>
      <c r="C23" s="1">
        <f>'Sec 3 G1 Computing'!Q25</f>
        <v>15</v>
      </c>
    </row>
    <row r="24" ht="14.25" customHeight="1">
      <c r="A24" s="1" t="str">
        <f>'Sec 3 G1 Computing'!A26</f>
        <v>ADAWIYAH </v>
      </c>
      <c r="B24" s="1" t="str">
        <f>'Sec 3 G1 Computing'!R26</f>
        <v>-Consistency Is Key, </v>
      </c>
      <c r="C24" s="1">
        <f>'Sec 3 G1 Computing'!Q26</f>
        <v>20</v>
      </c>
    </row>
    <row r="25" ht="14.25" customHeight="1">
      <c r="A25" s="1" t="str">
        <f>'Sec 3 G1 Computing'!A27</f>
        <v>ZI LIANG</v>
      </c>
      <c r="B25" s="1" t="str">
        <f>'Sec 3 G1 Computing'!R27</f>
        <v>-Consistency Is Key, </v>
      </c>
      <c r="C25" s="1">
        <f>'Sec 3 G1 Computing'!Q27</f>
        <v>21</v>
      </c>
    </row>
    <row r="26" ht="14.25" customHeight="1">
      <c r="A26" s="1" t="str">
        <f>'Sec 3 G1 Computing'!A28</f>
        <v>NATHANIEL </v>
      </c>
      <c r="B26" s="1" t="str">
        <f>'Sec 3 G1 Computing'!R28</f>
        <v>-I Say Hi, Consistency Is Key, </v>
      </c>
      <c r="C26" s="1">
        <f>'Sec 3 G1 Computing'!Q28</f>
        <v>20</v>
      </c>
    </row>
    <row r="27" ht="14.25" customHeight="1">
      <c r="A27" s="1" t="str">
        <f>'Sec 3 G1 Computing'!A29</f>
        <v>SHEVON</v>
      </c>
      <c r="B27" s="1" t="str">
        <f>'Sec 3 G1 Computing'!R29</f>
        <v>-Consistency Is Key, </v>
      </c>
      <c r="C27" s="1">
        <f>'Sec 3 G1 Computing'!Q29</f>
        <v>12</v>
      </c>
    </row>
    <row r="28" ht="14.25" customHeight="1">
      <c r="A28" s="1" t="str">
        <f>'Sec 3 G1 Computing'!A30</f>
        <v>PRINZE </v>
      </c>
      <c r="B28" s="1" t="str">
        <f>'Sec 3 G1 Computing'!R30</f>
        <v>-Consistency Is Key, </v>
      </c>
      <c r="C28" s="1">
        <f>'Sec 3 G1 Computing'!Q30</f>
        <v>17</v>
      </c>
    </row>
    <row r="29" ht="14.25" customHeight="1">
      <c r="A29" s="1" t="str">
        <f>'Sec 3 G1 Computing'!A31</f>
        <v>RAPHAEL </v>
      </c>
      <c r="B29" s="1" t="str">
        <f>'Sec 3 G1 Computing'!R31</f>
        <v>-Three-Star Wonder, Consistency Is Key, </v>
      </c>
      <c r="C29" s="1">
        <f>'Sec 3 G1 Computing'!Q31</f>
        <v>22</v>
      </c>
    </row>
    <row r="30" ht="14.25" customHeight="1">
      <c r="A30" s="1" t="str">
        <f>'Sec 3 G1 Computing'!A32</f>
        <v>SEAN</v>
      </c>
      <c r="B30" s="1" t="str">
        <f>'Sec 3 G1 Computing'!R32</f>
        <v>-Consistency Is Key, </v>
      </c>
      <c r="C30" s="1">
        <f>'Sec 3 G1 Computing'!Q32</f>
        <v>15</v>
      </c>
    </row>
    <row r="31" ht="14.25" customHeight="1">
      <c r="A31" s="1" t="str">
        <f>'Sec 3 G1 Computing'!A33</f>
        <v>JOSHUA</v>
      </c>
      <c r="B31" s="1" t="str">
        <f>'Sec 3 G1 Computing'!R33</f>
        <v>-Consistency Is Key, </v>
      </c>
      <c r="C31" s="1">
        <f>'Sec 3 G1 Computing'!Q33</f>
        <v>19</v>
      </c>
    </row>
    <row r="32" ht="14.25" customHeight="1">
      <c r="A32" s="1" t="str">
        <f>'Sec 3 G1 Computing'!A34</f>
        <v>WAYNE </v>
      </c>
      <c r="B32" s="1" t="str">
        <f>'Sec 3 G1 Computing'!R34</f>
        <v>-</v>
      </c>
      <c r="C32" s="1">
        <f>'Sec 3 G1 Computing'!Q34</f>
        <v>10</v>
      </c>
    </row>
    <row r="33" ht="14.25" customHeight="1">
      <c r="A33" s="1" t="str">
        <f>'Sec 3 G1 Computing'!A35</f>
        <v>YEN WEI</v>
      </c>
      <c r="B33" s="1" t="str">
        <f>'Sec 3 G1 Computing'!R35</f>
        <v>-Three-Star Wonder, Consistency Is Key, </v>
      </c>
      <c r="C33" s="1">
        <f>'Sec 3 G1 Computing'!Q35</f>
        <v>22</v>
      </c>
    </row>
    <row r="34" ht="14.25" customHeight="1">
      <c r="A34" s="1" t="str">
        <f>'Sec 3 G1 Computing'!A36</f>
        <v>XIN CHENG</v>
      </c>
      <c r="B34" s="1" t="str">
        <f>'Sec 3 G1 Computing'!R36</f>
        <v>-</v>
      </c>
      <c r="C34" s="1">
        <f>'Sec 3 G1 Computing'!Q36</f>
        <v>7</v>
      </c>
    </row>
    <row r="35" ht="14.25" customHeight="1">
      <c r="A35" s="1" t="str">
        <f>'Sec 3 G1 Computing'!A37</f>
        <v>WEILI</v>
      </c>
      <c r="B35" s="1" t="str">
        <f>'Sec 3 G1 Computing'!R37</f>
        <v>-I Say Hi, </v>
      </c>
      <c r="C35" s="1">
        <f>'Sec 3 G1 Computing'!Q37</f>
        <v>6</v>
      </c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Ng Wen Jun</dc:creator>
</cp:coreProperties>
</file>